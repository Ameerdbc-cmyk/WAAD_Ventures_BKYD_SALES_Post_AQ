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 hidePivotFieldList="1" autoCompressPictures="0"/>
  <xr:revisionPtr revIDLastSave="0" documentId="8_{355BC879-2A46-4576-8114-E65FD9B8AAEB}" xr6:coauthVersionLast="47" xr6:coauthVersionMax="47" xr10:uidLastSave="{00000000-0000-0000-0000-000000000000}"/>
  <bookViews>
    <workbookView xWindow="0" yWindow="0" windowWidth="0" windowHeight="0" firstSheet="2" activeTab="4" xr2:uid="{00000000-000D-0000-FFFF-FFFF00000000}"/>
  </bookViews>
  <sheets>
    <sheet name="Cleaned Feb Set" sheetId="4" r:id="rId1"/>
    <sheet name="Cleaned March Set" sheetId="5" r:id="rId2"/>
    <sheet name="April Pivot Sold" sheetId="7" r:id="rId3"/>
    <sheet name="Cleaned April set" sheetId="1" r:id="rId4"/>
    <sheet name="All Data" sheetId="6" r:id="rId5"/>
    <sheet name="Source Notes" sheetId="3" r:id="rId6"/>
  </sheets>
  <externalReferences>
    <externalReference r:id="rId7"/>
    <externalReference r:id="rId8"/>
    <externalReference r:id="rId9"/>
    <externalReference r:id="rId10"/>
  </externalReferences>
  <calcPr calcId="191028" refMode="R1C1" iterateCount="0" calcOnSave="0" concurrentCalc="0"/>
  <pivotCaches>
    <pivotCache cacheId="2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 a="1"/>
  <c r="A2" i="6"/>
  <c r="A1" i="6" a="1"/>
  <c r="A1" i="6"/>
  <c r="I88" i="4"/>
  <c r="F88" i="4"/>
  <c r="G88" i="4"/>
  <c r="G29" i="4"/>
  <c r="E5" i="4"/>
  <c r="G85" i="4"/>
  <c r="I85" i="4" s="1"/>
  <c r="F85" i="4"/>
  <c r="G84" i="4"/>
  <c r="I84" i="4" s="1"/>
  <c r="F84" i="4"/>
  <c r="G83" i="4"/>
  <c r="I83" i="4" s="1"/>
  <c r="F83" i="4"/>
  <c r="G82" i="4"/>
  <c r="I82" i="4" s="1"/>
  <c r="F82" i="4"/>
  <c r="G81" i="4"/>
  <c r="I81" i="4" s="1"/>
  <c r="F81" i="4"/>
  <c r="G80" i="4"/>
  <c r="I80" i="4" s="1"/>
  <c r="F80" i="4"/>
  <c r="G79" i="4"/>
  <c r="I79" i="4" s="1"/>
  <c r="F79" i="4"/>
  <c r="G78" i="4"/>
  <c r="F78" i="4"/>
  <c r="E77" i="4"/>
  <c r="G76" i="4"/>
  <c r="I76" i="4" s="1"/>
  <c r="F76" i="4"/>
  <c r="G75" i="4"/>
  <c r="I75" i="4" s="1"/>
  <c r="F75" i="4"/>
  <c r="G74" i="4"/>
  <c r="F74" i="4"/>
  <c r="F77" i="4" s="1"/>
  <c r="E73" i="4"/>
  <c r="G72" i="4"/>
  <c r="I72" i="4" s="1"/>
  <c r="F72" i="4"/>
  <c r="G71" i="4"/>
  <c r="F71" i="4"/>
  <c r="F73" i="4" s="1"/>
  <c r="E70" i="4"/>
  <c r="G69" i="4"/>
  <c r="I69" i="4" s="1"/>
  <c r="F69" i="4"/>
  <c r="G68" i="4"/>
  <c r="I68" i="4" s="1"/>
  <c r="F68" i="4"/>
  <c r="G67" i="4"/>
  <c r="I67" i="4" s="1"/>
  <c r="F67" i="4"/>
  <c r="G66" i="4"/>
  <c r="F66" i="4"/>
  <c r="F70" i="4" s="1"/>
  <c r="E65" i="4"/>
  <c r="G64" i="4"/>
  <c r="I64" i="4" s="1"/>
  <c r="F64" i="4"/>
  <c r="G63" i="4"/>
  <c r="F63" i="4"/>
  <c r="F65" i="4" s="1"/>
  <c r="E62" i="4"/>
  <c r="G61" i="4"/>
  <c r="I61" i="4" s="1"/>
  <c r="F61" i="4"/>
  <c r="G60" i="4"/>
  <c r="I60" i="4" s="1"/>
  <c r="F60" i="4"/>
  <c r="G59" i="4"/>
  <c r="F59" i="4"/>
  <c r="F62" i="4" s="1"/>
  <c r="E58" i="4"/>
  <c r="G57" i="4"/>
  <c r="I57" i="4" s="1"/>
  <c r="F57" i="4"/>
  <c r="G56" i="4"/>
  <c r="I56" i="4" s="1"/>
  <c r="F56" i="4"/>
  <c r="G55" i="4"/>
  <c r="I55" i="4" s="1"/>
  <c r="F55" i="4"/>
  <c r="G54" i="4"/>
  <c r="I54" i="4" s="1"/>
  <c r="F54" i="4"/>
  <c r="G53" i="4"/>
  <c r="F53" i="4"/>
  <c r="F58" i="4" s="1"/>
  <c r="E52" i="4"/>
  <c r="G51" i="4"/>
  <c r="I51" i="4" s="1"/>
  <c r="F51" i="4"/>
  <c r="G50" i="4"/>
  <c r="I50" i="4" s="1"/>
  <c r="F50" i="4"/>
  <c r="I49" i="4"/>
  <c r="G49" i="4"/>
  <c r="F49" i="4"/>
  <c r="G48" i="4"/>
  <c r="I48" i="4" s="1"/>
  <c r="F48" i="4"/>
  <c r="G47" i="4"/>
  <c r="I47" i="4" s="1"/>
  <c r="F47" i="4"/>
  <c r="G46" i="4"/>
  <c r="I46" i="4" s="1"/>
  <c r="F46" i="4"/>
  <c r="G45" i="4"/>
  <c r="I45" i="4" s="1"/>
  <c r="F45" i="4"/>
  <c r="G44" i="4"/>
  <c r="I44" i="4" s="1"/>
  <c r="F44" i="4"/>
  <c r="G43" i="4"/>
  <c r="I43" i="4" s="1"/>
  <c r="F43" i="4"/>
  <c r="G42" i="4"/>
  <c r="I42" i="4" s="1"/>
  <c r="F42" i="4"/>
  <c r="G41" i="4"/>
  <c r="I41" i="4" s="1"/>
  <c r="F41" i="4"/>
  <c r="G40" i="4"/>
  <c r="I40" i="4" s="1"/>
  <c r="F40" i="4"/>
  <c r="G39" i="4"/>
  <c r="I39" i="4" s="1"/>
  <c r="F39" i="4"/>
  <c r="G38" i="4"/>
  <c r="F38" i="4"/>
  <c r="F52" i="4" s="1"/>
  <c r="H37" i="4"/>
  <c r="G36" i="4"/>
  <c r="I36" i="4" s="1"/>
  <c r="F36" i="4"/>
  <c r="G35" i="4"/>
  <c r="G34" i="4"/>
  <c r="G33" i="4"/>
  <c r="I33" i="4" s="1"/>
  <c r="F33" i="4"/>
  <c r="G31" i="4"/>
  <c r="I31" i="4" s="1"/>
  <c r="F31" i="4"/>
  <c r="G30" i="4"/>
  <c r="I30" i="4" s="1"/>
  <c r="F30" i="4"/>
  <c r="I29" i="4"/>
  <c r="F29" i="4"/>
  <c r="G28" i="4"/>
  <c r="I28" i="4" s="1"/>
  <c r="F28" i="4"/>
  <c r="G27" i="4"/>
  <c r="I27" i="4" s="1"/>
  <c r="F27" i="4"/>
  <c r="G26" i="4"/>
  <c r="I26" i="4" s="1"/>
  <c r="F26" i="4"/>
  <c r="I25" i="4"/>
  <c r="F25" i="4"/>
  <c r="G24" i="4"/>
  <c r="F24" i="4"/>
  <c r="H23" i="4"/>
  <c r="E23" i="4"/>
  <c r="G22" i="4"/>
  <c r="I22" i="4" s="1"/>
  <c r="F22" i="4"/>
  <c r="G21" i="4"/>
  <c r="I21" i="4" s="1"/>
  <c r="F21" i="4"/>
  <c r="G20" i="4"/>
  <c r="I20" i="4" s="1"/>
  <c r="F20" i="4"/>
  <c r="G19" i="4"/>
  <c r="I19" i="4" s="1"/>
  <c r="F19" i="4"/>
  <c r="G18" i="4"/>
  <c r="I18" i="4" s="1"/>
  <c r="F18" i="4"/>
  <c r="G17" i="4"/>
  <c r="I17" i="4" s="1"/>
  <c r="F17" i="4"/>
  <c r="G16" i="4"/>
  <c r="I16" i="4" s="1"/>
  <c r="F16" i="4"/>
  <c r="G15" i="4"/>
  <c r="F15" i="4"/>
  <c r="F23" i="4" s="1"/>
  <c r="H14" i="4"/>
  <c r="E14" i="4"/>
  <c r="G13" i="4"/>
  <c r="I13" i="4" s="1"/>
  <c r="F13" i="4"/>
  <c r="G12" i="4"/>
  <c r="I12" i="4" s="1"/>
  <c r="F12" i="4"/>
  <c r="G11" i="4"/>
  <c r="I11" i="4" s="1"/>
  <c r="F11" i="4"/>
  <c r="G10" i="4"/>
  <c r="I10" i="4" s="1"/>
  <c r="F10" i="4"/>
  <c r="G9" i="4"/>
  <c r="I9" i="4" s="1"/>
  <c r="F9" i="4"/>
  <c r="G8" i="4"/>
  <c r="I8" i="4" s="1"/>
  <c r="F8" i="4"/>
  <c r="G7" i="4"/>
  <c r="I7" i="4" s="1"/>
  <c r="F7" i="4"/>
  <c r="G6" i="4"/>
  <c r="F6" i="4"/>
  <c r="F14" i="4" s="1"/>
  <c r="H5" i="4"/>
  <c r="H88" i="4" s="1"/>
  <c r="G4" i="4"/>
  <c r="I4" i="4" s="1"/>
  <c r="F4" i="4"/>
  <c r="G3" i="4"/>
  <c r="I3" i="4" s="1"/>
  <c r="F3" i="4"/>
  <c r="G2" i="4"/>
  <c r="F2" i="4"/>
  <c r="F5" i="4" s="1"/>
  <c r="H23" i="5"/>
  <c r="H14" i="5"/>
  <c r="H5" i="5"/>
  <c r="H37" i="5"/>
  <c r="H88" i="1"/>
  <c r="H37" i="1"/>
  <c r="F88" i="1"/>
  <c r="E86" i="1"/>
  <c r="E34" i="1"/>
  <c r="G29" i="1"/>
  <c r="E35" i="1"/>
  <c r="E32" i="1"/>
  <c r="G18" i="5"/>
  <c r="G18" i="1"/>
  <c r="F18" i="1"/>
  <c r="G23" i="1"/>
  <c r="H23" i="1"/>
  <c r="G85" i="1"/>
  <c r="I85" i="1" s="1"/>
  <c r="F85" i="1"/>
  <c r="G84" i="1"/>
  <c r="I84" i="1" s="1"/>
  <c r="F84" i="1"/>
  <c r="G83" i="1"/>
  <c r="I83" i="1" s="1"/>
  <c r="F83" i="1"/>
  <c r="G82" i="1"/>
  <c r="I82" i="1" s="1"/>
  <c r="F82" i="1"/>
  <c r="G81" i="1"/>
  <c r="I81" i="1" s="1"/>
  <c r="F81" i="1"/>
  <c r="G80" i="1"/>
  <c r="I80" i="1" s="1"/>
  <c r="F80" i="1"/>
  <c r="G79" i="1"/>
  <c r="I79" i="1" s="1"/>
  <c r="F79" i="1"/>
  <c r="G78" i="1"/>
  <c r="F78" i="1"/>
  <c r="G75" i="1"/>
  <c r="I75" i="1" s="1"/>
  <c r="F75" i="1"/>
  <c r="G74" i="1"/>
  <c r="F74" i="1"/>
  <c r="E73" i="1"/>
  <c r="G72" i="1"/>
  <c r="I72" i="1" s="1"/>
  <c r="F72" i="1"/>
  <c r="G71" i="1"/>
  <c r="F71" i="1"/>
  <c r="F73" i="1" s="1"/>
  <c r="E70" i="1"/>
  <c r="G69" i="1"/>
  <c r="I69" i="1" s="1"/>
  <c r="F69" i="1"/>
  <c r="G68" i="1"/>
  <c r="I68" i="1" s="1"/>
  <c r="F68" i="1"/>
  <c r="G67" i="1"/>
  <c r="I67" i="1" s="1"/>
  <c r="F67" i="1"/>
  <c r="G66" i="1"/>
  <c r="F66" i="1"/>
  <c r="F70" i="1" s="1"/>
  <c r="E65" i="1"/>
  <c r="G64" i="1"/>
  <c r="I64" i="1" s="1"/>
  <c r="F64" i="1"/>
  <c r="G63" i="1"/>
  <c r="F63" i="1"/>
  <c r="F65" i="1" s="1"/>
  <c r="E62" i="1"/>
  <c r="G61" i="1"/>
  <c r="I61" i="1" s="1"/>
  <c r="F61" i="1"/>
  <c r="G60" i="1"/>
  <c r="I60" i="1" s="1"/>
  <c r="F60" i="1"/>
  <c r="G59" i="1"/>
  <c r="F59" i="1"/>
  <c r="F62" i="1" s="1"/>
  <c r="E58" i="1"/>
  <c r="G57" i="1"/>
  <c r="I57" i="1" s="1"/>
  <c r="F57" i="1"/>
  <c r="G56" i="1"/>
  <c r="I56" i="1" s="1"/>
  <c r="F56" i="1"/>
  <c r="G55" i="1"/>
  <c r="I55" i="1" s="1"/>
  <c r="F55" i="1"/>
  <c r="G54" i="1"/>
  <c r="I54" i="1" s="1"/>
  <c r="F54" i="1"/>
  <c r="G53" i="1"/>
  <c r="F53" i="1"/>
  <c r="F58" i="1" s="1"/>
  <c r="E52" i="1"/>
  <c r="G51" i="1"/>
  <c r="I51" i="1" s="1"/>
  <c r="F51" i="1"/>
  <c r="G50" i="1"/>
  <c r="I50" i="1" s="1"/>
  <c r="F50" i="1"/>
  <c r="I49" i="1"/>
  <c r="G49" i="1"/>
  <c r="F49" i="1"/>
  <c r="G48" i="1"/>
  <c r="I48" i="1" s="1"/>
  <c r="F48" i="1"/>
  <c r="G47" i="1"/>
  <c r="I47" i="1" s="1"/>
  <c r="F47" i="1"/>
  <c r="G46" i="1"/>
  <c r="I46" i="1" s="1"/>
  <c r="F46" i="1"/>
  <c r="G45" i="1"/>
  <c r="I45" i="1" s="1"/>
  <c r="F45" i="1"/>
  <c r="G44" i="1"/>
  <c r="I44" i="1" s="1"/>
  <c r="F44" i="1"/>
  <c r="G43" i="1"/>
  <c r="I43" i="1" s="1"/>
  <c r="F43" i="1"/>
  <c r="G42" i="1"/>
  <c r="I42" i="1" s="1"/>
  <c r="F42" i="1"/>
  <c r="G41" i="1"/>
  <c r="I41" i="1" s="1"/>
  <c r="F41" i="1"/>
  <c r="G40" i="1"/>
  <c r="I40" i="1" s="1"/>
  <c r="F40" i="1"/>
  <c r="G39" i="1"/>
  <c r="I39" i="1" s="1"/>
  <c r="F39" i="1"/>
  <c r="G38" i="1"/>
  <c r="F38" i="1"/>
  <c r="F52" i="1" s="1"/>
  <c r="G36" i="1"/>
  <c r="I36" i="1" s="1"/>
  <c r="F36" i="1"/>
  <c r="G35" i="1"/>
  <c r="G34" i="1"/>
  <c r="G33" i="1"/>
  <c r="I33" i="1" s="1"/>
  <c r="F33" i="1"/>
  <c r="G32" i="1"/>
  <c r="G31" i="1"/>
  <c r="I31" i="1" s="1"/>
  <c r="F31" i="1"/>
  <c r="G30" i="1"/>
  <c r="I30" i="1" s="1"/>
  <c r="F30" i="1"/>
  <c r="I29" i="1"/>
  <c r="F29" i="1"/>
  <c r="G28" i="1"/>
  <c r="I28" i="1" s="1"/>
  <c r="F28" i="1"/>
  <c r="G26" i="1"/>
  <c r="I26" i="1" s="1"/>
  <c r="F26" i="1"/>
  <c r="I25" i="1"/>
  <c r="F25" i="1"/>
  <c r="G24" i="1"/>
  <c r="F24" i="1"/>
  <c r="E23" i="1"/>
  <c r="G22" i="1"/>
  <c r="I22" i="1" s="1"/>
  <c r="F22" i="1"/>
  <c r="G21" i="1"/>
  <c r="I21" i="1" s="1"/>
  <c r="F21" i="1"/>
  <c r="G20" i="1"/>
  <c r="I20" i="1" s="1"/>
  <c r="F20" i="1"/>
  <c r="G19" i="1"/>
  <c r="I19" i="1" s="1"/>
  <c r="F19" i="1"/>
  <c r="I18" i="1"/>
  <c r="F23" i="1"/>
  <c r="G17" i="1"/>
  <c r="I17" i="1" s="1"/>
  <c r="F17" i="1"/>
  <c r="G16" i="1"/>
  <c r="I16" i="1" s="1"/>
  <c r="F16" i="1"/>
  <c r="G15" i="1"/>
  <c r="F15" i="1"/>
  <c r="H14" i="1"/>
  <c r="E14" i="1"/>
  <c r="G13" i="1"/>
  <c r="I13" i="1" s="1"/>
  <c r="F13" i="1"/>
  <c r="G12" i="1"/>
  <c r="I12" i="1" s="1"/>
  <c r="F12" i="1"/>
  <c r="G11" i="1"/>
  <c r="I11" i="1" s="1"/>
  <c r="F11" i="1"/>
  <c r="G10" i="1"/>
  <c r="I10" i="1" s="1"/>
  <c r="F10" i="1"/>
  <c r="G9" i="1"/>
  <c r="I9" i="1" s="1"/>
  <c r="F9" i="1"/>
  <c r="G8" i="1"/>
  <c r="I8" i="1" s="1"/>
  <c r="F8" i="1"/>
  <c r="G7" i="1"/>
  <c r="I7" i="1" s="1"/>
  <c r="F7" i="1"/>
  <c r="G6" i="1"/>
  <c r="F6" i="1"/>
  <c r="F14" i="1" s="1"/>
  <c r="E5" i="1"/>
  <c r="G4" i="1"/>
  <c r="I4" i="1" s="1"/>
  <c r="F4" i="1"/>
  <c r="G3" i="1"/>
  <c r="I3" i="1" s="1"/>
  <c r="F3" i="1"/>
  <c r="H5" i="1"/>
  <c r="G2" i="1"/>
  <c r="F2" i="1"/>
  <c r="F5" i="1" s="1"/>
  <c r="E86" i="5"/>
  <c r="G79" i="5"/>
  <c r="G78" i="5"/>
  <c r="G80" i="5"/>
  <c r="F80" i="5" s="1"/>
  <c r="G81" i="5"/>
  <c r="G82" i="5"/>
  <c r="G83" i="5"/>
  <c r="G84" i="5"/>
  <c r="G85" i="5"/>
  <c r="G86" i="5"/>
  <c r="F86" i="5"/>
  <c r="E34" i="5"/>
  <c r="G29" i="5"/>
  <c r="E29" i="5"/>
  <c r="G73" i="5"/>
  <c r="G77" i="5"/>
  <c r="I77" i="5"/>
  <c r="F77" i="5"/>
  <c r="E77" i="5"/>
  <c r="E76" i="5"/>
  <c r="G75" i="5"/>
  <c r="G74" i="5"/>
  <c r="I75" i="5"/>
  <c r="F75" i="5"/>
  <c r="G72" i="5"/>
  <c r="G71" i="5"/>
  <c r="E58" i="5"/>
  <c r="G57" i="5"/>
  <c r="I57" i="5"/>
  <c r="F57" i="5"/>
  <c r="G56" i="5"/>
  <c r="I56" i="5"/>
  <c r="F56" i="5"/>
  <c r="E52" i="5"/>
  <c r="E5" i="5"/>
  <c r="E14" i="5"/>
  <c r="E23" i="5"/>
  <c r="G51" i="5"/>
  <c r="I51" i="5"/>
  <c r="F51" i="5"/>
  <c r="G50" i="5"/>
  <c r="G49" i="5"/>
  <c r="G48" i="5"/>
  <c r="I48" i="5"/>
  <c r="I49" i="5"/>
  <c r="F49" i="5"/>
  <c r="E35" i="5"/>
  <c r="G35" i="5"/>
  <c r="F35" i="5"/>
  <c r="E32" i="5"/>
  <c r="G30" i="5"/>
  <c r="F30" i="5" s="1"/>
  <c r="E27" i="5"/>
  <c r="E37" i="5" s="1"/>
  <c r="G16" i="5"/>
  <c r="F16" i="5"/>
  <c r="G15" i="5"/>
  <c r="F15" i="5"/>
  <c r="H2" i="5"/>
  <c r="E87" i="5"/>
  <c r="E73" i="5"/>
  <c r="E70" i="5"/>
  <c r="E65" i="5"/>
  <c r="E62" i="5"/>
  <c r="G66" i="5"/>
  <c r="F66" i="5"/>
  <c r="H88" i="5"/>
  <c r="G87" i="5"/>
  <c r="I86" i="5"/>
  <c r="I85" i="5"/>
  <c r="F85" i="5"/>
  <c r="I84" i="5"/>
  <c r="F84" i="5"/>
  <c r="I83" i="5"/>
  <c r="F83" i="5"/>
  <c r="I82" i="5"/>
  <c r="F82" i="5"/>
  <c r="I81" i="5"/>
  <c r="F81" i="5"/>
  <c r="I80" i="5"/>
  <c r="I79" i="5"/>
  <c r="F79" i="5"/>
  <c r="I78" i="5"/>
  <c r="I87" i="5" s="1"/>
  <c r="F78" i="5"/>
  <c r="F87" i="5" s="1"/>
  <c r="G76" i="5"/>
  <c r="F76" i="5"/>
  <c r="I74" i="5"/>
  <c r="F74" i="5"/>
  <c r="I72" i="5"/>
  <c r="F72" i="5"/>
  <c r="F71" i="5"/>
  <c r="F73" i="5" s="1"/>
  <c r="G69" i="5"/>
  <c r="I69" i="5" s="1"/>
  <c r="F69" i="5"/>
  <c r="G68" i="5"/>
  <c r="I68" i="5" s="1"/>
  <c r="F68" i="5"/>
  <c r="G67" i="5"/>
  <c r="I67" i="5" s="1"/>
  <c r="F67" i="5"/>
  <c r="F70" i="5"/>
  <c r="G64" i="5"/>
  <c r="I64" i="5" s="1"/>
  <c r="F64" i="5"/>
  <c r="G63" i="5"/>
  <c r="F63" i="5"/>
  <c r="F65" i="5" s="1"/>
  <c r="G61" i="5"/>
  <c r="I61" i="5" s="1"/>
  <c r="F61" i="5"/>
  <c r="G60" i="5"/>
  <c r="I60" i="5" s="1"/>
  <c r="F60" i="5"/>
  <c r="G59" i="5"/>
  <c r="F59" i="5"/>
  <c r="F62" i="5" s="1"/>
  <c r="G55" i="5"/>
  <c r="I55" i="5" s="1"/>
  <c r="F55" i="5"/>
  <c r="G54" i="5"/>
  <c r="I54" i="5" s="1"/>
  <c r="F54" i="5"/>
  <c r="G53" i="5"/>
  <c r="G58" i="5" s="1"/>
  <c r="F53" i="5"/>
  <c r="F58" i="5" s="1"/>
  <c r="F48" i="5"/>
  <c r="G47" i="5"/>
  <c r="I47" i="5" s="1"/>
  <c r="F47" i="5"/>
  <c r="G46" i="5"/>
  <c r="I46" i="5" s="1"/>
  <c r="F46" i="5"/>
  <c r="G45" i="5"/>
  <c r="I45" i="5" s="1"/>
  <c r="F45" i="5"/>
  <c r="G44" i="5"/>
  <c r="I44" i="5" s="1"/>
  <c r="F44" i="5"/>
  <c r="G43" i="5"/>
  <c r="I43" i="5" s="1"/>
  <c r="F43" i="5"/>
  <c r="G42" i="5"/>
  <c r="I42" i="5" s="1"/>
  <c r="F42" i="5"/>
  <c r="G41" i="5"/>
  <c r="I41" i="5" s="1"/>
  <c r="F41" i="5"/>
  <c r="G40" i="5"/>
  <c r="I40" i="5" s="1"/>
  <c r="F40" i="5"/>
  <c r="G39" i="5"/>
  <c r="I39" i="5" s="1"/>
  <c r="F39" i="5"/>
  <c r="G38" i="5"/>
  <c r="G52" i="5" s="1"/>
  <c r="F38" i="5"/>
  <c r="E88" i="5"/>
  <c r="G36" i="5"/>
  <c r="I36" i="5" s="1"/>
  <c r="F36" i="5"/>
  <c r="G34" i="5"/>
  <c r="I34" i="5" s="1"/>
  <c r="F34" i="5"/>
  <c r="G33" i="5"/>
  <c r="I33" i="5" s="1"/>
  <c r="F33" i="5"/>
  <c r="G32" i="5"/>
  <c r="I32" i="5" s="1"/>
  <c r="F32" i="5"/>
  <c r="G31" i="5"/>
  <c r="I31" i="5" s="1"/>
  <c r="F31" i="5"/>
  <c r="I30" i="5"/>
  <c r="I29" i="5"/>
  <c r="F29" i="5"/>
  <c r="G28" i="5"/>
  <c r="I28" i="5" s="1"/>
  <c r="F28" i="5"/>
  <c r="G27" i="5"/>
  <c r="I27" i="5" s="1"/>
  <c r="F27" i="5"/>
  <c r="G26" i="5"/>
  <c r="I26" i="5" s="1"/>
  <c r="F26" i="5"/>
  <c r="I25" i="5"/>
  <c r="F25" i="5"/>
  <c r="G24" i="5"/>
  <c r="G37" i="5" s="1"/>
  <c r="F24" i="5"/>
  <c r="F37" i="5" s="1"/>
  <c r="G22" i="5"/>
  <c r="I22" i="5" s="1"/>
  <c r="F22" i="5"/>
  <c r="G21" i="5"/>
  <c r="I21" i="5" s="1"/>
  <c r="F21" i="5"/>
  <c r="G20" i="5"/>
  <c r="I20" i="5" s="1"/>
  <c r="F20" i="5"/>
  <c r="G19" i="5"/>
  <c r="I19" i="5" s="1"/>
  <c r="F19" i="5"/>
  <c r="I18" i="5"/>
  <c r="F18" i="5"/>
  <c r="G17" i="5"/>
  <c r="I17" i="5" s="1"/>
  <c r="F17" i="5"/>
  <c r="I16" i="5"/>
  <c r="F23" i="5"/>
  <c r="F88" i="5" s="1"/>
  <c r="G13" i="5"/>
  <c r="I13" i="5" s="1"/>
  <c r="F13" i="5"/>
  <c r="G12" i="5"/>
  <c r="I12" i="5" s="1"/>
  <c r="F12" i="5"/>
  <c r="G11" i="5"/>
  <c r="I11" i="5" s="1"/>
  <c r="F11" i="5"/>
  <c r="G10" i="5"/>
  <c r="I10" i="5" s="1"/>
  <c r="F10" i="5"/>
  <c r="G9" i="5"/>
  <c r="I9" i="5" s="1"/>
  <c r="F9" i="5"/>
  <c r="G8" i="5"/>
  <c r="I8" i="5" s="1"/>
  <c r="F8" i="5"/>
  <c r="G7" i="5"/>
  <c r="I7" i="5" s="1"/>
  <c r="F7" i="5"/>
  <c r="G6" i="5"/>
  <c r="F6" i="5"/>
  <c r="F14" i="5" s="1"/>
  <c r="G4" i="5"/>
  <c r="I4" i="5" s="1"/>
  <c r="F4" i="5"/>
  <c r="G3" i="5"/>
  <c r="I3" i="5" s="1"/>
  <c r="F3" i="5"/>
  <c r="G2" i="5"/>
  <c r="F2" i="5"/>
  <c r="G5" i="4" l="1"/>
  <c r="I2" i="4"/>
  <c r="I5" i="4" s="1"/>
  <c r="G14" i="4"/>
  <c r="I6" i="4"/>
  <c r="I14" i="4" s="1"/>
  <c r="G23" i="4"/>
  <c r="I15" i="4"/>
  <c r="I23" i="4" s="1"/>
  <c r="I24" i="4"/>
  <c r="E37" i="4"/>
  <c r="G32" i="4"/>
  <c r="I34" i="4"/>
  <c r="F34" i="4"/>
  <c r="I35" i="4"/>
  <c r="F35" i="4"/>
  <c r="G52" i="4"/>
  <c r="I38" i="4"/>
  <c r="I52" i="4" s="1"/>
  <c r="G58" i="4"/>
  <c r="I53" i="4"/>
  <c r="I58" i="4" s="1"/>
  <c r="G62" i="4"/>
  <c r="I59" i="4"/>
  <c r="I62" i="4" s="1"/>
  <c r="G65" i="4"/>
  <c r="I63" i="4"/>
  <c r="I65" i="4" s="1"/>
  <c r="G70" i="4"/>
  <c r="I66" i="4"/>
  <c r="I70" i="4" s="1"/>
  <c r="G73" i="4"/>
  <c r="I71" i="4"/>
  <c r="I73" i="4" s="1"/>
  <c r="G77" i="4"/>
  <c r="I74" i="4"/>
  <c r="I77" i="4" s="1"/>
  <c r="I78" i="4"/>
  <c r="E87" i="4"/>
  <c r="G86" i="4"/>
  <c r="G5" i="1"/>
  <c r="I2" i="1"/>
  <c r="I5" i="1" s="1"/>
  <c r="G14" i="1"/>
  <c r="I6" i="1"/>
  <c r="I14" i="1" s="1"/>
  <c r="I15" i="1"/>
  <c r="I23" i="1" s="1"/>
  <c r="I24" i="1"/>
  <c r="E37" i="1"/>
  <c r="G27" i="1"/>
  <c r="I32" i="1"/>
  <c r="F32" i="1"/>
  <c r="I34" i="1"/>
  <c r="F34" i="1"/>
  <c r="I35" i="1"/>
  <c r="F35" i="1"/>
  <c r="G52" i="1"/>
  <c r="I38" i="1"/>
  <c r="I52" i="1" s="1"/>
  <c r="G58" i="1"/>
  <c r="I53" i="1"/>
  <c r="I58" i="1" s="1"/>
  <c r="G62" i="1"/>
  <c r="I59" i="1"/>
  <c r="I62" i="1" s="1"/>
  <c r="G65" i="1"/>
  <c r="I63" i="1"/>
  <c r="I65" i="1" s="1"/>
  <c r="G70" i="1"/>
  <c r="I66" i="1"/>
  <c r="I70" i="1" s="1"/>
  <c r="G73" i="1"/>
  <c r="I71" i="1"/>
  <c r="I73" i="1" s="1"/>
  <c r="I74" i="1"/>
  <c r="E77" i="1"/>
  <c r="G76" i="1"/>
  <c r="I78" i="1"/>
  <c r="E87" i="1"/>
  <c r="G86" i="1"/>
  <c r="I35" i="5"/>
  <c r="F5" i="5"/>
  <c r="G5" i="5"/>
  <c r="I2" i="5"/>
  <c r="I5" i="5" s="1"/>
  <c r="G14" i="5"/>
  <c r="I6" i="5"/>
  <c r="I14" i="5" s="1"/>
  <c r="G23" i="5"/>
  <c r="I15" i="5"/>
  <c r="I23" i="5" s="1"/>
  <c r="I88" i="5" s="1"/>
  <c r="I24" i="5"/>
  <c r="I37" i="5" s="1"/>
  <c r="I38" i="5"/>
  <c r="I53" i="5"/>
  <c r="I58" i="5" s="1"/>
  <c r="G62" i="5"/>
  <c r="I59" i="5"/>
  <c r="I62" i="5" s="1"/>
  <c r="G65" i="5"/>
  <c r="I63" i="5"/>
  <c r="I65" i="5" s="1"/>
  <c r="G70" i="5"/>
  <c r="I66" i="5"/>
  <c r="I70" i="5" s="1"/>
  <c r="I71" i="5"/>
  <c r="I73" i="5" s="1"/>
  <c r="I76" i="5"/>
  <c r="I86" i="4" l="1"/>
  <c r="F86" i="4"/>
  <c r="F87" i="4" s="1"/>
  <c r="G87" i="4"/>
  <c r="I87" i="4"/>
  <c r="I32" i="4"/>
  <c r="F32" i="4"/>
  <c r="F37" i="4" s="1"/>
  <c r="G37" i="4"/>
  <c r="E88" i="4"/>
  <c r="I37" i="4"/>
  <c r="I86" i="1"/>
  <c r="F86" i="1"/>
  <c r="F87" i="1" s="1"/>
  <c r="G87" i="1"/>
  <c r="I87" i="1"/>
  <c r="I76" i="1"/>
  <c r="F76" i="1"/>
  <c r="F77" i="1" s="1"/>
  <c r="G77" i="1"/>
  <c r="I77" i="1"/>
  <c r="I27" i="1"/>
  <c r="F27" i="1"/>
  <c r="F37" i="1" s="1"/>
  <c r="G37" i="1"/>
  <c r="E88" i="1"/>
  <c r="I37" i="1"/>
  <c r="I88" i="1"/>
  <c r="G88" i="1"/>
  <c r="G88" i="5"/>
  <c r="I50" i="5"/>
  <c r="I52" i="5" s="1"/>
  <c r="F50" i="5"/>
  <c r="F5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<sst xmlns="http://schemas.openxmlformats.org/spreadsheetml/2006/main" count="1181" uniqueCount="124">
  <si>
    <t>Period</t>
  </si>
  <si>
    <t>Category</t>
  </si>
  <si>
    <t>Item</t>
  </si>
  <si>
    <t>Row Type</t>
  </si>
  <si>
    <t>Sold</t>
  </si>
  <si>
    <t>Gross Sales</t>
  </si>
  <si>
    <t>Item Gross Sales</t>
  </si>
  <si>
    <t>Modifier Gross Sale</t>
  </si>
  <si>
    <t>Net Sales</t>
  </si>
  <si>
    <t>Notes</t>
  </si>
  <si>
    <t>FEB</t>
  </si>
  <si>
    <t>BBQ Platters</t>
  </si>
  <si>
    <t>Three Yard</t>
  </si>
  <si>
    <t>Post-acquisition February sample...</t>
  </si>
  <si>
    <t>Six Yard</t>
  </si>
  <si>
    <t>Nine Yard</t>
  </si>
  <si>
    <t>Total</t>
  </si>
  <si>
    <t>Category Total</t>
  </si>
  <si>
    <t>Smoke Yard</t>
  </si>
  <si>
    <t>Beef Back Ribs</t>
  </si>
  <si>
    <t>Short Ribs</t>
  </si>
  <si>
    <t>Brisket</t>
  </si>
  <si>
    <t>Lamb Shank</t>
  </si>
  <si>
    <t>Chicken Quarters</t>
  </si>
  <si>
    <t>Whole Smoked Chicken</t>
  </si>
  <si>
    <t>Pulled Chuck</t>
  </si>
  <si>
    <t>Smoked Sausages (5 Pcs)</t>
  </si>
  <si>
    <t>The Bun Yard</t>
  </si>
  <si>
    <t>The Backyard Burger</t>
  </si>
  <si>
    <t>Brisket Beef Burger</t>
  </si>
  <si>
    <t>The Chef Yard Burger</t>
  </si>
  <si>
    <t>Cheeseyard Burger</t>
  </si>
  <si>
    <t>Nashville Hen Sandwich</t>
  </si>
  <si>
    <t>Pulled Beef Sandwich</t>
  </si>
  <si>
    <t>Holy Hen Sandwich</t>
  </si>
  <si>
    <t>Pulled Smoked Chicken</t>
  </si>
  <si>
    <t>Drinks</t>
  </si>
  <si>
    <t>Mango Strawberry Lemonade</t>
  </si>
  <si>
    <t>Mocktails</t>
  </si>
  <si>
    <t>grouped by modifiers</t>
  </si>
  <si>
    <t>Blackberry Pineapple Lemonade</t>
  </si>
  <si>
    <t>Diet Coke</t>
  </si>
  <si>
    <t>Diet coke + Diet pepsi</t>
  </si>
  <si>
    <t>Mint Lemonade</t>
  </si>
  <si>
    <t>Milkshakes</t>
  </si>
  <si>
    <t>grouped by modifiers | uncat</t>
  </si>
  <si>
    <t>Canada Dry</t>
  </si>
  <si>
    <t>Coke</t>
  </si>
  <si>
    <t>7 Up</t>
  </si>
  <si>
    <t>Sprite + 7up orders</t>
  </si>
  <si>
    <t>Coke Zero</t>
  </si>
  <si>
    <t>Carbonated Water</t>
  </si>
  <si>
    <t>Barbican</t>
  </si>
  <si>
    <t>Crush</t>
  </si>
  <si>
    <t>Starters</t>
  </si>
  <si>
    <t>Mac &amp; Cheese</t>
  </si>
  <si>
    <t>Smoked Corn</t>
  </si>
  <si>
    <t>Caesar Salad</t>
  </si>
  <si>
    <t>Baked Beans</t>
  </si>
  <si>
    <t>Macaroni Salad</t>
  </si>
  <si>
    <t>Sweet Potato Fries</t>
  </si>
  <si>
    <t>Hand Cut Fries</t>
  </si>
  <si>
    <t>Mashed Potatoes</t>
  </si>
  <si>
    <t>Curly Fries</t>
  </si>
  <si>
    <t>Fried Shrimp</t>
  </si>
  <si>
    <t>Fried Pickles</t>
  </si>
  <si>
    <t>Creamy Coleslaw</t>
  </si>
  <si>
    <t>Mushroom Soup</t>
  </si>
  <si>
    <t>Rice</t>
  </si>
  <si>
    <t>The Backyard Bites</t>
  </si>
  <si>
    <t>Brisket Poutine</t>
  </si>
  <si>
    <t>Chuck Beef Sliders X3</t>
  </si>
  <si>
    <t>Pulled Chicken Poutine</t>
  </si>
  <si>
    <t>Regular Poutine</t>
  </si>
  <si>
    <t>Party Fries</t>
  </si>
  <si>
    <t>Specialty Mac &amp; Cheese</t>
  </si>
  <si>
    <t>Brisket Mac And Cheese</t>
  </si>
  <si>
    <t>Chicken Mac And Cheese</t>
  </si>
  <si>
    <t>Mushroom Mac and Cheese</t>
  </si>
  <si>
    <t>Kids Yard</t>
  </si>
  <si>
    <t>Tenders &amp; Fries</t>
  </si>
  <si>
    <t>Sliders &amp; Sides</t>
  </si>
  <si>
    <t>Guilty Pleasures</t>
  </si>
  <si>
    <t>Corn Bread</t>
  </si>
  <si>
    <t>Garlic Bread</t>
  </si>
  <si>
    <t>Baby Roasted Potatoes</t>
  </si>
  <si>
    <t>Mushroom Confit</t>
  </si>
  <si>
    <t>The Chic Yard</t>
  </si>
  <si>
    <t>1lb Chicken Wings</t>
  </si>
  <si>
    <t>Chicken Strips</t>
  </si>
  <si>
    <t>Desserts</t>
  </si>
  <si>
    <t>Molten Lava Cake</t>
  </si>
  <si>
    <t>Sweet Cornbread</t>
  </si>
  <si>
    <t>Ice Cream</t>
  </si>
  <si>
    <t>Vanilla+Strawberry</t>
  </si>
  <si>
    <t>Sauces</t>
  </si>
  <si>
    <t>Cheese Sauce</t>
  </si>
  <si>
    <t>Gravy</t>
  </si>
  <si>
    <t>BKYD Sauce</t>
  </si>
  <si>
    <t>Chipotle Mayo</t>
  </si>
  <si>
    <t>Garlic Mayo</t>
  </si>
  <si>
    <t>Gold Sauce</t>
  </si>
  <si>
    <t>Honey</t>
  </si>
  <si>
    <t>Hot Sauce</t>
  </si>
  <si>
    <t>BBQ Sauce</t>
  </si>
  <si>
    <t>All</t>
  </si>
  <si>
    <t>Grand Total</t>
  </si>
  <si>
    <t>MAR</t>
  </si>
  <si>
    <t>Sum of Sold</t>
  </si>
  <si>
    <t>APR</t>
  </si>
  <si>
    <t>Field</t>
  </si>
  <si>
    <t>Value</t>
  </si>
  <si>
    <t>Source</t>
  </si>
  <si>
    <t>Clover Item Sales receipt</t>
  </si>
  <si>
    <t>Report period shown on receipt</t>
  </si>
  <si>
    <t>Feb 1st, 2026 12:00 a.m. - Apr. 25, 2026 11:59 p.m.</t>
  </si>
  <si>
    <t>User description</t>
  </si>
  <si>
    <t>Total Sales under new ownership, Feb 26-28, All of Mar and APR</t>
  </si>
  <si>
    <t>Report generated timestamp shown</t>
  </si>
  <si>
    <t>Apr. 25, 2026 11:18:40 p.m.</t>
  </si>
  <si>
    <t>Location shown</t>
  </si>
  <si>
    <t>The Backyard Smokehouse, 1054 Lilian Street, Toronto, ON</t>
  </si>
  <si>
    <t>Data Limitations</t>
  </si>
  <si>
    <t>Voids and refunds are processed through a separate system and are not captured in this dataset. As a result, Gross Sales and Net Sales are equal across all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</si>
</sst>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1"/>
      <name val="Carlito"/>
    </font>
    <font>
      <b/>
      <sz val="11"/>
      <color rgb="FF1F2937"/>
      <name val="Carlito"/>
    </font>
    <font>
      <sz val="11"/>
      <color rgb="FF000000"/>
      <name val="Carlito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Border="1"/>
    <xf numFmtId="1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3" borderId="0" xfId="0" applyFill="1"/>
    <xf numFmtId="1" fontId="0" fillId="3" borderId="0" xfId="0" applyNumberFormat="1" applyFill="1"/>
    <xf numFmtId="0" fontId="0" fillId="0" borderId="0" xfId="0" applyFill="1"/>
    <xf numFmtId="1" fontId="0" fillId="0" borderId="0" xfId="0" applyNumberFormat="1" applyFill="1"/>
    <xf numFmtId="0" fontId="1" fillId="0" borderId="1" xfId="0" applyNumberFormat="1" applyFont="1" applyFill="1" applyBorder="1"/>
    <xf numFmtId="0" fontId="1" fillId="0" borderId="1" xfId="0" applyNumberFormat="1" applyFont="1" applyBorder="1" applyAlignment="1">
      <alignment wrapText="1"/>
    </xf>
    <xf numFmtId="0" fontId="4" fillId="0" borderId="1" xfId="0" applyFont="1" applyBorder="1" applyAlignment="1"/>
    <xf numFmtId="8" fontId="4" fillId="0" borderId="1" xfId="0" applyNumberFormat="1" applyFont="1" applyBorder="1" applyAlignment="1"/>
    <xf numFmtId="0" fontId="2" fillId="0" borderId="0" xfId="0" applyFont="1" applyFill="1"/>
    <xf numFmtId="0" fontId="4" fillId="4" borderId="1" xfId="0" applyFont="1" applyFill="1" applyBorder="1" applyAlignment="1"/>
    <xf numFmtId="8" fontId="4" fillId="4" borderId="1" xfId="0" applyNumberFormat="1" applyFont="1" applyFill="1" applyBorder="1" applyAlignment="1"/>
    <xf numFmtId="0" fontId="0" fillId="0" borderId="0" xfId="0" applyAlignment="1">
      <alignment wrapText="1"/>
    </xf>
    <xf numFmtId="0" fontId="3" fillId="2" borderId="2" xfId="0" applyFont="1" applyFill="1" applyBorder="1" applyAlignment="1"/>
    <xf numFmtId="0" fontId="5" fillId="2" borderId="0" xfId="0" applyFont="1" applyFill="1"/>
    <xf numFmtId="0" fontId="4" fillId="3" borderId="1" xfId="0" applyFont="1" applyFill="1" applyBorder="1" applyAlignment="1"/>
    <xf numFmtId="8" fontId="0" fillId="0" borderId="0" xfId="0" applyNumberFormat="1"/>
    <xf numFmtId="0" fontId="3" fillId="0" borderId="2" xfId="0" applyFont="1" applyFill="1" applyBorder="1" applyAlignment="1"/>
    <xf numFmtId="0" fontId="4" fillId="0" borderId="1" xfId="0" applyFont="1" applyFill="1" applyBorder="1" applyAlignme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A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ebruary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ruary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5.564765972224" createdVersion="8" refreshedVersion="8" minRefreshableVersion="3" recordCount="87" xr:uid="{BC0B79C2-D914-408D-A0C2-F044CD351B31}">
  <cacheSource type="worksheet">
    <worksheetSource ref="A1:J88" sheet="Cleaned April set"/>
  </cacheSource>
  <cacheFields count="10">
    <cacheField name="Period" numFmtId="0">
      <sharedItems count="1">
        <s v="APR"/>
      </sharedItems>
    </cacheField>
    <cacheField name="Category" numFmtId="0">
      <sharedItems count="13">
        <s v="BBQ Platters"/>
        <s v="Smoke Yard"/>
        <s v="The Bun Yard"/>
        <s v="Drinks"/>
        <s v="Starters"/>
        <s v="The Backyard Bites"/>
        <s v="Specialty Mac &amp; Cheese"/>
        <s v="Kids Yard"/>
        <s v="Guilty Pleasures"/>
        <s v="The Chic Yard"/>
        <s v="Desserts"/>
        <s v="Sauces"/>
        <s v="All"/>
      </sharedItems>
    </cacheField>
    <cacheField name="Item" numFmtId="0">
      <sharedItems count="76">
        <s v="Three Yard"/>
        <s v="Six Yard"/>
        <s v="Nine Yard"/>
        <s v="Total"/>
        <s v="Beef Back Ribs"/>
        <s v="Short Ribs"/>
        <s v="Brisket"/>
        <s v="Lamb Shank"/>
        <s v="Chicken Quarters"/>
        <s v="Whole Smoked Chicken"/>
        <s v="Pulled Chuck"/>
        <s v="Smoked Sausages (5 Pcs)"/>
        <s v="The Backyard Burger"/>
        <s v="Brisket Beef Burger"/>
        <s v="The Chef Yard Burger"/>
        <s v="Cheeseyard Burger"/>
        <s v="Nashville Hen Sandwich"/>
        <s v="Pulled Beef Sandwich"/>
        <s v="Holy Hen Sandwich"/>
        <s v="Pulled Smoked Chicken"/>
        <s v="Mango Strawberry Lemonade"/>
        <s v="Mocktails"/>
        <s v="Blackberry Pineapple Lemonade"/>
        <s v="Diet Coke"/>
        <s v="Mint Lemonade"/>
        <s v="Milkshakes"/>
        <s v="Canada Dry"/>
        <s v="Coke"/>
        <s v="7 Up"/>
        <s v="Coke Zero"/>
        <s v="Carbonated Water"/>
        <s v="Barbican"/>
        <s v="Crush"/>
        <s v="Mac &amp; Cheese"/>
        <s v="Smoked Corn"/>
        <s v="Caesar Salad"/>
        <s v="Baked Beans"/>
        <s v="Macaroni Salad"/>
        <s v="Sweet Potato Fries"/>
        <s v="Hand Cut Fries"/>
        <s v="Mashed Potatoes"/>
        <s v="Curly Fries"/>
        <s v="Fried Shrimp"/>
        <s v="Fried Pickles"/>
        <s v="Creamy Coleslaw"/>
        <s v="Mushroom Soup"/>
        <s v="Rice"/>
        <s v="Brisket Poutine"/>
        <s v="Chuck Beef Sliders X3"/>
        <s v="Pulled Chicken Poutine"/>
        <s v="Regular Poutine"/>
        <s v="Party Fries"/>
        <s v="Brisket Mac And Cheese"/>
        <s v="Chicken Mac And Cheese"/>
        <s v="Mushroom Mac and Cheese"/>
        <s v="Tenders &amp; Fries"/>
        <s v="Sliders &amp; Sides"/>
        <s v="Corn Bread"/>
        <s v="Garlic Bread"/>
        <s v="Baby Roasted Potatoes"/>
        <s v="Mushroom Confit"/>
        <s v="1lb Chicken Wings"/>
        <s v="Chicken Strips"/>
        <s v="Molten Lava Cake"/>
        <s v="Sweet Cornbread"/>
        <s v="Ice Cream"/>
        <s v="Cheese Sauce"/>
        <s v="Gravy"/>
        <s v="BKYD Sauce"/>
        <s v="Chipotle Mayo"/>
        <s v="Garlic Mayo"/>
        <s v="Gold Sauce"/>
        <s v="Honey"/>
        <s v="Hot Sauce"/>
        <s v="BBQ Sauce"/>
        <s v="Grand Total"/>
      </sharedItems>
    </cacheField>
    <cacheField name="Row Type" numFmtId="0">
      <sharedItems count="2">
        <s v="Item"/>
        <s v="Category Total"/>
      </sharedItems>
    </cacheField>
    <cacheField name="Sold" numFmtId="0">
      <sharedItems containsSemiMixedTypes="0" containsString="0" containsNumber="1" containsInteger="1" minValue="1" maxValue="4445" count="69">
        <n v="297"/>
        <n v="96"/>
        <n v="31"/>
        <n v="424"/>
        <n v="165"/>
        <n v="59"/>
        <n v="163"/>
        <n v="43"/>
        <n v="16"/>
        <n v="29"/>
        <n v="20"/>
        <n v="40"/>
        <n v="535"/>
        <n v="210"/>
        <n v="234"/>
        <n v="102"/>
        <n v="64"/>
        <n v="91"/>
        <n v="47"/>
        <n v="38"/>
        <n v="845"/>
        <n v="148"/>
        <n v="68"/>
        <n v="188"/>
        <n v="80"/>
        <n v="82"/>
        <n v="65"/>
        <n v="243"/>
        <n v="70"/>
        <n v="153"/>
        <n v="56"/>
        <n v="28"/>
        <n v="1362"/>
        <n v="103"/>
        <n v="27"/>
        <n v="24"/>
        <n v="8"/>
        <n v="34"/>
        <n v="55"/>
        <n v="32"/>
        <n v="79"/>
        <n v="42"/>
        <n v="30"/>
        <n v="17"/>
        <n v="12"/>
        <n v="511"/>
        <n v="50"/>
        <n v="52"/>
        <n v="11"/>
        <n v="3"/>
        <n v="124"/>
        <n v="139"/>
        <n v="19"/>
        <n v="10"/>
        <n v="168"/>
        <n v="35"/>
        <n v="33"/>
        <n v="83"/>
        <n v="18"/>
        <n v="142"/>
        <n v="44"/>
        <n v="2"/>
        <n v="1"/>
        <n v="14"/>
        <n v="25"/>
        <n v="5"/>
        <n v="9"/>
        <n v="116"/>
        <n v="4445"/>
      </sharedItems>
    </cacheField>
    <cacheField name="Gross Sales" numFmtId="0">
      <sharedItems containsSemiMixedTypes="0" containsString="0" containsNumber="1" minValue="2" maxValue="121542.48000000001"/>
    </cacheField>
    <cacheField name="Item Gross Sales" numFmtId="0">
      <sharedItems containsSemiMixedTypes="0" containsString="0" containsNumber="1" minValue="2" maxValue="120785.48000000001"/>
    </cacheField>
    <cacheField name="Modifier Gross Sale" numFmtId="0">
      <sharedItems containsSemiMixedTypes="0" containsString="0" containsNumber="1" minValue="0" maxValue="757"/>
    </cacheField>
    <cacheField name="Net Sales" numFmtId="0">
      <sharedItems containsSemiMixedTypes="0" containsString="0" containsNumber="1" minValue="0" maxValue="121440.4800000000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  <x v="0"/>
    <x v="0"/>
    <n v="32426"/>
    <n v="32076"/>
    <n v="350"/>
    <n v="32426"/>
    <m/>
  </r>
  <r>
    <x v="0"/>
    <x v="0"/>
    <x v="1"/>
    <x v="0"/>
    <x v="1"/>
    <n v="19158"/>
    <n v="19008"/>
    <n v="150"/>
    <n v="19158"/>
    <m/>
  </r>
  <r>
    <x v="0"/>
    <x v="0"/>
    <x v="2"/>
    <x v="0"/>
    <x v="2"/>
    <n v="9288"/>
    <n v="9238"/>
    <n v="50"/>
    <n v="9288"/>
    <m/>
  </r>
  <r>
    <x v="0"/>
    <x v="0"/>
    <x v="3"/>
    <x v="1"/>
    <x v="3"/>
    <n v="60872"/>
    <n v="60322"/>
    <n v="550"/>
    <n v="60872"/>
    <m/>
  </r>
  <r>
    <x v="0"/>
    <x v="1"/>
    <x v="4"/>
    <x v="0"/>
    <x v="4"/>
    <n v="5940"/>
    <n v="5940"/>
    <n v="0"/>
    <n v="5940"/>
    <m/>
  </r>
  <r>
    <x v="0"/>
    <x v="1"/>
    <x v="5"/>
    <x v="0"/>
    <x v="5"/>
    <n v="3245"/>
    <n v="3245"/>
    <n v="0"/>
    <n v="3245"/>
    <m/>
  </r>
  <r>
    <x v="0"/>
    <x v="1"/>
    <x v="6"/>
    <x v="0"/>
    <x v="6"/>
    <n v="7661"/>
    <n v="7661"/>
    <n v="0"/>
    <n v="7661"/>
    <m/>
  </r>
  <r>
    <x v="0"/>
    <x v="1"/>
    <x v="7"/>
    <x v="0"/>
    <x v="7"/>
    <n v="1548"/>
    <n v="1548"/>
    <n v="0"/>
    <n v="1548"/>
    <m/>
  </r>
  <r>
    <x v="0"/>
    <x v="1"/>
    <x v="8"/>
    <x v="0"/>
    <x v="8"/>
    <n v="400"/>
    <n v="400"/>
    <n v="0"/>
    <n v="400"/>
    <m/>
  </r>
  <r>
    <x v="0"/>
    <x v="1"/>
    <x v="9"/>
    <x v="0"/>
    <x v="9"/>
    <n v="1015"/>
    <n v="1015"/>
    <n v="0"/>
    <n v="1015"/>
    <m/>
  </r>
  <r>
    <x v="0"/>
    <x v="1"/>
    <x v="10"/>
    <x v="0"/>
    <x v="10"/>
    <n v="400"/>
    <n v="400"/>
    <n v="0"/>
    <n v="400"/>
    <m/>
  </r>
  <r>
    <x v="0"/>
    <x v="1"/>
    <x v="11"/>
    <x v="0"/>
    <x v="11"/>
    <n v="800"/>
    <n v="800"/>
    <n v="0"/>
    <n v="800"/>
    <m/>
  </r>
  <r>
    <x v="0"/>
    <x v="1"/>
    <x v="3"/>
    <x v="1"/>
    <x v="12"/>
    <n v="21009"/>
    <n v="21009"/>
    <n v="0"/>
    <n v="21009"/>
    <m/>
  </r>
  <r>
    <x v="0"/>
    <x v="2"/>
    <x v="12"/>
    <x v="0"/>
    <x v="13"/>
    <n v="4213.5"/>
    <n v="4200"/>
    <n v="13.5"/>
    <n v="4213.5"/>
    <m/>
  </r>
  <r>
    <x v="0"/>
    <x v="2"/>
    <x v="13"/>
    <x v="0"/>
    <x v="14"/>
    <n v="5852.16"/>
    <n v="5847.66"/>
    <n v="4.5"/>
    <n v="5852.16"/>
    <m/>
  </r>
  <r>
    <x v="0"/>
    <x v="2"/>
    <x v="14"/>
    <x v="0"/>
    <x v="15"/>
    <n v="2244"/>
    <n v="2244"/>
    <n v="0"/>
    <n v="2244"/>
    <m/>
  </r>
  <r>
    <x v="0"/>
    <x v="2"/>
    <x v="15"/>
    <x v="0"/>
    <x v="5"/>
    <n v="1298"/>
    <n v="1298"/>
    <n v="0"/>
    <n v="1298"/>
    <m/>
  </r>
  <r>
    <x v="0"/>
    <x v="2"/>
    <x v="16"/>
    <x v="0"/>
    <x v="16"/>
    <n v="1280"/>
    <n v="1280"/>
    <n v="0"/>
    <n v="1280"/>
    <m/>
  </r>
  <r>
    <x v="0"/>
    <x v="2"/>
    <x v="17"/>
    <x v="0"/>
    <x v="17"/>
    <n v="2002"/>
    <n v="2002"/>
    <n v="0"/>
    <n v="2002"/>
    <m/>
  </r>
  <r>
    <x v="0"/>
    <x v="2"/>
    <x v="18"/>
    <x v="0"/>
    <x v="18"/>
    <n v="893"/>
    <n v="893"/>
    <n v="0"/>
    <n v="893"/>
    <m/>
  </r>
  <r>
    <x v="0"/>
    <x v="2"/>
    <x v="19"/>
    <x v="0"/>
    <x v="19"/>
    <n v="722"/>
    <n v="722"/>
    <n v="0"/>
    <n v="722"/>
    <m/>
  </r>
  <r>
    <x v="0"/>
    <x v="2"/>
    <x v="3"/>
    <x v="1"/>
    <x v="20"/>
    <n v="18504.66"/>
    <n v="18486.66"/>
    <n v="18"/>
    <n v="18504.66"/>
    <m/>
  </r>
  <r>
    <x v="0"/>
    <x v="3"/>
    <x v="20"/>
    <x v="0"/>
    <x v="4"/>
    <n v="1155"/>
    <n v="1155"/>
    <n v="0"/>
    <n v="1155"/>
    <m/>
  </r>
  <r>
    <x v="0"/>
    <x v="3"/>
    <x v="21"/>
    <x v="0"/>
    <x v="21"/>
    <n v="1539"/>
    <n v="1539"/>
    <n v="0"/>
    <n v="1539"/>
    <s v="grouped by modifiers"/>
  </r>
  <r>
    <x v="0"/>
    <x v="3"/>
    <x v="22"/>
    <x v="0"/>
    <x v="22"/>
    <n v="476"/>
    <n v="476"/>
    <n v="0"/>
    <n v="476"/>
    <m/>
  </r>
  <r>
    <x v="0"/>
    <x v="3"/>
    <x v="23"/>
    <x v="0"/>
    <x v="23"/>
    <n v="721"/>
    <n v="658"/>
    <n v="63"/>
    <n v="721"/>
    <s v="Diet coke + Diet pepsi"/>
  </r>
  <r>
    <x v="0"/>
    <x v="3"/>
    <x v="24"/>
    <x v="0"/>
    <x v="24"/>
    <n v="560"/>
    <n v="560"/>
    <n v="0"/>
    <n v="560"/>
    <m/>
  </r>
  <r>
    <x v="0"/>
    <x v="3"/>
    <x v="25"/>
    <x v="0"/>
    <x v="25"/>
    <n v="904"/>
    <n v="904"/>
    <n v="0"/>
    <n v="904"/>
    <s v="grouped by modifiers | uncat"/>
  </r>
  <r>
    <x v="0"/>
    <x v="3"/>
    <x v="26"/>
    <x v="0"/>
    <x v="26"/>
    <n v="241.5"/>
    <n v="227.5"/>
    <n v="14"/>
    <n v="241.5"/>
    <m/>
  </r>
  <r>
    <x v="0"/>
    <x v="3"/>
    <x v="27"/>
    <x v="0"/>
    <x v="27"/>
    <n v="917"/>
    <n v="850.5"/>
    <n v="66.5"/>
    <n v="917"/>
    <m/>
  </r>
  <r>
    <x v="0"/>
    <x v="3"/>
    <x v="28"/>
    <x v="0"/>
    <x v="28"/>
    <n v="252"/>
    <n v="245"/>
    <n v="7"/>
    <n v="252"/>
    <s v="Sprite + 7up orders"/>
  </r>
  <r>
    <x v="0"/>
    <x v="3"/>
    <x v="29"/>
    <x v="0"/>
    <x v="29"/>
    <n v="574"/>
    <n v="535.5"/>
    <n v="38.5"/>
    <n v="574"/>
    <m/>
  </r>
  <r>
    <x v="0"/>
    <x v="3"/>
    <x v="30"/>
    <x v="0"/>
    <x v="30"/>
    <n v="224"/>
    <n v="224"/>
    <n v="0"/>
    <n v="224"/>
    <m/>
  </r>
  <r>
    <x v="0"/>
    <x v="3"/>
    <x v="31"/>
    <x v="0"/>
    <x v="31"/>
    <n v="126"/>
    <n v="126"/>
    <n v="0"/>
    <n v="126"/>
    <m/>
  </r>
  <r>
    <x v="0"/>
    <x v="3"/>
    <x v="32"/>
    <x v="0"/>
    <x v="8"/>
    <n v="56"/>
    <n v="56"/>
    <n v="0"/>
    <n v="56"/>
    <m/>
  </r>
  <r>
    <x v="0"/>
    <x v="3"/>
    <x v="3"/>
    <x v="1"/>
    <x v="32"/>
    <n v="7745.5"/>
    <n v="7556.5"/>
    <n v="189"/>
    <n v="7745.5"/>
    <m/>
  </r>
  <r>
    <x v="0"/>
    <x v="4"/>
    <x v="33"/>
    <x v="0"/>
    <x v="33"/>
    <n v="927"/>
    <n v="927"/>
    <n v="0"/>
    <n v="927"/>
    <m/>
  </r>
  <r>
    <x v="0"/>
    <x v="4"/>
    <x v="34"/>
    <x v="0"/>
    <x v="34"/>
    <n v="243"/>
    <n v="243"/>
    <n v="0"/>
    <n v="243"/>
    <m/>
  </r>
  <r>
    <x v="0"/>
    <x v="4"/>
    <x v="35"/>
    <x v="0"/>
    <x v="35"/>
    <n v="264"/>
    <n v="264"/>
    <n v="0"/>
    <n v="264"/>
    <m/>
  </r>
  <r>
    <x v="0"/>
    <x v="4"/>
    <x v="36"/>
    <x v="0"/>
    <x v="10"/>
    <n v="140"/>
    <n v="140"/>
    <n v="0"/>
    <n v="140"/>
    <m/>
  </r>
  <r>
    <x v="0"/>
    <x v="4"/>
    <x v="37"/>
    <x v="0"/>
    <x v="36"/>
    <n v="48"/>
    <n v="48"/>
    <n v="0"/>
    <n v="48"/>
    <m/>
  </r>
  <r>
    <x v="0"/>
    <x v="4"/>
    <x v="38"/>
    <x v="0"/>
    <x v="37"/>
    <n v="204"/>
    <n v="204"/>
    <n v="0"/>
    <n v="204"/>
    <m/>
  </r>
  <r>
    <x v="0"/>
    <x v="4"/>
    <x v="39"/>
    <x v="0"/>
    <x v="38"/>
    <n v="220"/>
    <n v="220"/>
    <n v="0"/>
    <n v="220"/>
    <m/>
  </r>
  <r>
    <x v="0"/>
    <x v="4"/>
    <x v="40"/>
    <x v="0"/>
    <x v="39"/>
    <n v="256"/>
    <n v="256"/>
    <n v="0"/>
    <n v="256"/>
    <m/>
  </r>
  <r>
    <x v="0"/>
    <x v="4"/>
    <x v="41"/>
    <x v="0"/>
    <x v="40"/>
    <n v="395"/>
    <n v="395"/>
    <n v="0"/>
    <n v="395"/>
    <m/>
  </r>
  <r>
    <x v="0"/>
    <x v="4"/>
    <x v="42"/>
    <x v="0"/>
    <x v="41"/>
    <n v="504"/>
    <n v="504"/>
    <n v="0"/>
    <n v="504"/>
    <m/>
  </r>
  <r>
    <x v="0"/>
    <x v="4"/>
    <x v="43"/>
    <x v="0"/>
    <x v="42"/>
    <n v="210"/>
    <n v="210"/>
    <n v="0"/>
    <n v="210"/>
    <m/>
  </r>
  <r>
    <x v="0"/>
    <x v="4"/>
    <x v="44"/>
    <x v="0"/>
    <x v="43"/>
    <n v="102"/>
    <n v="102"/>
    <n v="0"/>
    <n v="0"/>
    <m/>
  </r>
  <r>
    <x v="0"/>
    <x v="4"/>
    <x v="45"/>
    <x v="0"/>
    <x v="31"/>
    <n v="252"/>
    <n v="252"/>
    <n v="0"/>
    <n v="252"/>
    <m/>
  </r>
  <r>
    <x v="0"/>
    <x v="4"/>
    <x v="46"/>
    <x v="0"/>
    <x v="44"/>
    <n v="60"/>
    <n v="60"/>
    <n v="0"/>
    <n v="60"/>
    <m/>
  </r>
  <r>
    <x v="0"/>
    <x v="4"/>
    <x v="3"/>
    <x v="1"/>
    <x v="45"/>
    <n v="3825"/>
    <n v="3825"/>
    <n v="0"/>
    <n v="3723"/>
    <m/>
  </r>
  <r>
    <x v="0"/>
    <x v="5"/>
    <x v="47"/>
    <x v="0"/>
    <x v="46"/>
    <n v="950"/>
    <n v="950"/>
    <n v="0"/>
    <n v="950"/>
    <m/>
  </r>
  <r>
    <x v="0"/>
    <x v="5"/>
    <x v="48"/>
    <x v="0"/>
    <x v="47"/>
    <n v="936"/>
    <n v="936"/>
    <n v="0"/>
    <n v="936"/>
    <m/>
  </r>
  <r>
    <x v="0"/>
    <x v="5"/>
    <x v="49"/>
    <x v="0"/>
    <x v="48"/>
    <n v="176"/>
    <n v="176"/>
    <n v="0"/>
    <n v="176"/>
    <m/>
  </r>
  <r>
    <x v="0"/>
    <x v="5"/>
    <x v="50"/>
    <x v="0"/>
    <x v="49"/>
    <n v="36"/>
    <n v="36"/>
    <n v="0"/>
    <n v="36"/>
    <m/>
  </r>
  <r>
    <x v="0"/>
    <x v="5"/>
    <x v="51"/>
    <x v="0"/>
    <x v="36"/>
    <n v="152"/>
    <n v="152"/>
    <n v="0"/>
    <n v="152"/>
    <m/>
  </r>
  <r>
    <x v="0"/>
    <x v="5"/>
    <x v="3"/>
    <x v="1"/>
    <x v="50"/>
    <n v="2250"/>
    <n v="2250"/>
    <n v="0"/>
    <n v="2250"/>
    <m/>
  </r>
  <r>
    <x v="0"/>
    <x v="6"/>
    <x v="52"/>
    <x v="0"/>
    <x v="51"/>
    <n v="2502"/>
    <n v="2502"/>
    <n v="0"/>
    <n v="2502"/>
    <m/>
  </r>
  <r>
    <x v="0"/>
    <x v="6"/>
    <x v="53"/>
    <x v="0"/>
    <x v="52"/>
    <n v="342"/>
    <n v="342"/>
    <n v="0"/>
    <n v="342"/>
    <m/>
  </r>
  <r>
    <x v="0"/>
    <x v="6"/>
    <x v="54"/>
    <x v="0"/>
    <x v="53"/>
    <n v="180"/>
    <n v="180"/>
    <n v="0"/>
    <n v="180"/>
    <m/>
  </r>
  <r>
    <x v="0"/>
    <x v="6"/>
    <x v="3"/>
    <x v="1"/>
    <x v="54"/>
    <n v="3024"/>
    <n v="3024"/>
    <n v="0"/>
    <n v="3024"/>
    <m/>
  </r>
  <r>
    <x v="0"/>
    <x v="7"/>
    <x v="55"/>
    <x v="0"/>
    <x v="55"/>
    <n v="630"/>
    <n v="630"/>
    <n v="0"/>
    <n v="630"/>
    <m/>
  </r>
  <r>
    <x v="0"/>
    <x v="7"/>
    <x v="56"/>
    <x v="0"/>
    <x v="56"/>
    <n v="594"/>
    <n v="594"/>
    <n v="0"/>
    <n v="594"/>
    <m/>
  </r>
  <r>
    <x v="0"/>
    <x v="7"/>
    <x v="3"/>
    <x v="1"/>
    <x v="22"/>
    <n v="1224"/>
    <n v="1224"/>
    <n v="0"/>
    <n v="1224"/>
    <m/>
  </r>
  <r>
    <x v="0"/>
    <x v="8"/>
    <x v="57"/>
    <x v="0"/>
    <x v="57"/>
    <n v="415"/>
    <n v="415"/>
    <n v="0"/>
    <n v="415"/>
    <m/>
  </r>
  <r>
    <x v="0"/>
    <x v="8"/>
    <x v="58"/>
    <x v="0"/>
    <x v="35"/>
    <n v="96"/>
    <n v="96"/>
    <n v="0"/>
    <n v="96"/>
    <m/>
  </r>
  <r>
    <x v="0"/>
    <x v="8"/>
    <x v="59"/>
    <x v="0"/>
    <x v="43"/>
    <n v="85"/>
    <n v="85"/>
    <n v="0"/>
    <n v="85"/>
    <m/>
  </r>
  <r>
    <x v="0"/>
    <x v="8"/>
    <x v="60"/>
    <x v="0"/>
    <x v="58"/>
    <n v="90"/>
    <n v="90"/>
    <n v="0"/>
    <n v="90"/>
    <m/>
  </r>
  <r>
    <x v="0"/>
    <x v="8"/>
    <x v="3"/>
    <x v="1"/>
    <x v="59"/>
    <n v="686"/>
    <n v="686"/>
    <n v="0"/>
    <n v="686"/>
    <m/>
  </r>
  <r>
    <x v="0"/>
    <x v="9"/>
    <x v="61"/>
    <x v="0"/>
    <x v="60"/>
    <n v="879.56"/>
    <n v="879.56"/>
    <n v="0"/>
    <n v="879.56"/>
    <m/>
  </r>
  <r>
    <x v="0"/>
    <x v="9"/>
    <x v="62"/>
    <x v="0"/>
    <x v="35"/>
    <n v="479.76"/>
    <n v="479.76"/>
    <n v="0"/>
    <n v="479.76"/>
    <m/>
  </r>
  <r>
    <x v="0"/>
    <x v="9"/>
    <x v="3"/>
    <x v="1"/>
    <x v="22"/>
    <n v="1359.32"/>
    <n v="1359.32"/>
    <n v="0"/>
    <n v="1359.32"/>
    <m/>
  </r>
  <r>
    <x v="0"/>
    <x v="10"/>
    <x v="63"/>
    <x v="0"/>
    <x v="16"/>
    <n v="832"/>
    <n v="832"/>
    <n v="0"/>
    <n v="832"/>
    <m/>
  </r>
  <r>
    <x v="0"/>
    <x v="10"/>
    <x v="64"/>
    <x v="0"/>
    <x v="61"/>
    <n v="18"/>
    <n v="18"/>
    <n v="0"/>
    <n v="18"/>
    <m/>
  </r>
  <r>
    <x v="0"/>
    <x v="10"/>
    <x v="65"/>
    <x v="0"/>
    <x v="8"/>
    <n v="64"/>
    <n v="64"/>
    <n v="0"/>
    <n v="64"/>
    <s v="Vanilla+Strawberry"/>
  </r>
  <r>
    <x v="0"/>
    <x v="10"/>
    <x v="3"/>
    <x v="1"/>
    <x v="25"/>
    <n v="914"/>
    <n v="914"/>
    <n v="0"/>
    <n v="914"/>
    <m/>
  </r>
  <r>
    <x v="0"/>
    <x v="11"/>
    <x v="66"/>
    <x v="0"/>
    <x v="62"/>
    <n v="2"/>
    <n v="2"/>
    <n v="0"/>
    <n v="2"/>
    <m/>
  </r>
  <r>
    <x v="0"/>
    <x v="11"/>
    <x v="67"/>
    <x v="0"/>
    <x v="44"/>
    <n v="24"/>
    <n v="24"/>
    <n v="0"/>
    <n v="24"/>
    <m/>
  </r>
  <r>
    <x v="0"/>
    <x v="11"/>
    <x v="68"/>
    <x v="0"/>
    <x v="63"/>
    <n v="14"/>
    <n v="14"/>
    <n v="0"/>
    <n v="14"/>
    <m/>
  </r>
  <r>
    <x v="0"/>
    <x v="11"/>
    <x v="69"/>
    <x v="0"/>
    <x v="63"/>
    <n v="14"/>
    <n v="14"/>
    <n v="0"/>
    <n v="14"/>
    <m/>
  </r>
  <r>
    <x v="0"/>
    <x v="11"/>
    <x v="70"/>
    <x v="0"/>
    <x v="64"/>
    <n v="25"/>
    <n v="25"/>
    <n v="0"/>
    <n v="25"/>
    <m/>
  </r>
  <r>
    <x v="0"/>
    <x v="11"/>
    <x v="71"/>
    <x v="0"/>
    <x v="49"/>
    <n v="3"/>
    <n v="3"/>
    <n v="0"/>
    <n v="3"/>
    <m/>
  </r>
  <r>
    <x v="0"/>
    <x v="11"/>
    <x v="72"/>
    <x v="0"/>
    <x v="65"/>
    <n v="5"/>
    <n v="5"/>
    <n v="0"/>
    <n v="5"/>
    <m/>
  </r>
  <r>
    <x v="0"/>
    <x v="11"/>
    <x v="73"/>
    <x v="0"/>
    <x v="66"/>
    <n v="9"/>
    <n v="9"/>
    <n v="0"/>
    <n v="9"/>
    <m/>
  </r>
  <r>
    <x v="0"/>
    <x v="11"/>
    <x v="74"/>
    <x v="0"/>
    <x v="56"/>
    <n v="33"/>
    <n v="33"/>
    <n v="0"/>
    <n v="33"/>
    <m/>
  </r>
  <r>
    <x v="0"/>
    <x v="11"/>
    <x v="3"/>
    <x v="1"/>
    <x v="67"/>
    <n v="129"/>
    <n v="129"/>
    <n v="0"/>
    <n v="129"/>
    <m/>
  </r>
  <r>
    <x v="0"/>
    <x v="12"/>
    <x v="75"/>
    <x v="1"/>
    <x v="68"/>
    <n v="121542.48000000001"/>
    <n v="120785.48000000001"/>
    <n v="757"/>
    <n v="121440.480000000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7CE90-B5BC-4F2A-AF79-E050A9CD93E6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8" firstHeaderRow="1" firstDataRow="1" firstDataCol="1"/>
  <pivotFields count="10">
    <pivotField compact="0" outline="0" showAll="0">
      <items count="2">
        <item x="0"/>
        <item t="default"/>
      </items>
    </pivotField>
    <pivotField compact="0" outline="0" showAll="0">
      <items count="14">
        <item x="12"/>
        <item x="0"/>
        <item x="10"/>
        <item x="3"/>
        <item x="8"/>
        <item x="7"/>
        <item x="11"/>
        <item x="1"/>
        <item x="6"/>
        <item x="4"/>
        <item x="5"/>
        <item x="2"/>
        <item x="9"/>
        <item t="default"/>
      </items>
    </pivotField>
    <pivotField axis="axisRow" compact="0" outline="0" showAll="0" sortType="ascending">
      <items count="77">
        <item x="61"/>
        <item x="28"/>
        <item x="59"/>
        <item x="36"/>
        <item x="31"/>
        <item x="74"/>
        <item x="4"/>
        <item x="68"/>
        <item x="22"/>
        <item x="6"/>
        <item x="13"/>
        <item x="52"/>
        <item x="47"/>
        <item x="35"/>
        <item x="26"/>
        <item x="30"/>
        <item x="66"/>
        <item x="15"/>
        <item x="53"/>
        <item x="8"/>
        <item x="62"/>
        <item x="69"/>
        <item x="48"/>
        <item x="27"/>
        <item x="29"/>
        <item x="57"/>
        <item x="44"/>
        <item x="32"/>
        <item x="41"/>
        <item x="23"/>
        <item x="43"/>
        <item x="42"/>
        <item x="58"/>
        <item x="70"/>
        <item x="71"/>
        <item h="1" x="75"/>
        <item x="67"/>
        <item x="39"/>
        <item x="18"/>
        <item x="72"/>
        <item x="73"/>
        <item x="65"/>
        <item x="7"/>
        <item x="33"/>
        <item x="37"/>
        <item x="20"/>
        <item x="40"/>
        <item x="25"/>
        <item x="24"/>
        <item x="21"/>
        <item x="63"/>
        <item x="60"/>
        <item x="54"/>
        <item x="45"/>
        <item x="16"/>
        <item x="2"/>
        <item x="51"/>
        <item x="17"/>
        <item x="49"/>
        <item x="10"/>
        <item x="19"/>
        <item x="50"/>
        <item x="46"/>
        <item x="5"/>
        <item x="1"/>
        <item x="56"/>
        <item x="34"/>
        <item x="11"/>
        <item x="64"/>
        <item x="38"/>
        <item x="55"/>
        <item x="12"/>
        <item x="14"/>
        <item x="0"/>
        <item h="1"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70">
        <item x="62"/>
        <item x="61"/>
        <item x="49"/>
        <item x="65"/>
        <item x="36"/>
        <item x="66"/>
        <item x="53"/>
        <item x="48"/>
        <item x="44"/>
        <item x="63"/>
        <item x="8"/>
        <item x="43"/>
        <item x="58"/>
        <item x="52"/>
        <item x="10"/>
        <item x="35"/>
        <item x="64"/>
        <item x="34"/>
        <item x="31"/>
        <item x="9"/>
        <item x="42"/>
        <item x="2"/>
        <item x="39"/>
        <item x="56"/>
        <item x="37"/>
        <item x="55"/>
        <item x="19"/>
        <item x="11"/>
        <item x="41"/>
        <item x="7"/>
        <item x="60"/>
        <item x="18"/>
        <item x="46"/>
        <item x="47"/>
        <item x="38"/>
        <item x="30"/>
        <item x="5"/>
        <item x="16"/>
        <item x="26"/>
        <item x="22"/>
        <item x="28"/>
        <item x="40"/>
        <item x="24"/>
        <item x="25"/>
        <item x="57"/>
        <item x="17"/>
        <item x="1"/>
        <item x="15"/>
        <item x="33"/>
        <item x="67"/>
        <item x="50"/>
        <item x="51"/>
        <item x="59"/>
        <item x="21"/>
        <item x="29"/>
        <item x="6"/>
        <item x="4"/>
        <item x="54"/>
        <item x="23"/>
        <item x="13"/>
        <item x="14"/>
        <item x="27"/>
        <item x="0"/>
        <item x="3"/>
        <item x="45"/>
        <item x="12"/>
        <item x="20"/>
        <item x="32"/>
        <item x="6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5">
    <i>
      <x v="16"/>
    </i>
    <i>
      <x v="68"/>
    </i>
    <i>
      <x v="34"/>
    </i>
    <i>
      <x v="61"/>
    </i>
    <i>
      <x v="39"/>
    </i>
    <i>
      <x v="56"/>
    </i>
    <i>
      <x v="44"/>
    </i>
    <i>
      <x v="40"/>
    </i>
    <i>
      <x v="52"/>
    </i>
    <i>
      <x v="58"/>
    </i>
    <i>
      <x v="36"/>
    </i>
    <i>
      <x v="62"/>
    </i>
    <i>
      <x v="7"/>
    </i>
    <i>
      <x v="21"/>
    </i>
    <i>
      <x v="41"/>
    </i>
    <i>
      <x v="27"/>
    </i>
    <i>
      <x v="19"/>
    </i>
    <i>
      <x v="2"/>
    </i>
    <i>
      <x v="26"/>
    </i>
    <i>
      <x v="51"/>
    </i>
    <i>
      <x v="18"/>
    </i>
    <i>
      <x v="3"/>
    </i>
    <i>
      <x v="59"/>
    </i>
    <i>
      <x v="32"/>
    </i>
    <i>
      <x v="20"/>
    </i>
    <i>
      <x v="13"/>
    </i>
    <i>
      <x v="33"/>
    </i>
    <i>
      <x v="66"/>
    </i>
    <i>
      <x v="4"/>
    </i>
    <i>
      <x v="53"/>
    </i>
    <i>
      <x v="75"/>
    </i>
    <i>
      <x v="30"/>
    </i>
    <i>
      <x v="55"/>
    </i>
    <i>
      <x v="46"/>
    </i>
    <i>
      <x v="65"/>
    </i>
    <i>
      <x v="5"/>
    </i>
    <i>
      <x v="69"/>
    </i>
    <i>
      <x v="70"/>
    </i>
    <i>
      <x v="60"/>
    </i>
    <i>
      <x v="67"/>
    </i>
    <i>
      <x v="31"/>
    </i>
    <i>
      <x v="42"/>
    </i>
    <i>
      <x/>
    </i>
    <i>
      <x v="38"/>
    </i>
    <i>
      <x v="12"/>
    </i>
    <i>
      <x v="22"/>
    </i>
    <i>
      <x v="37"/>
    </i>
    <i>
      <x v="15"/>
    </i>
    <i>
      <x v="17"/>
    </i>
    <i>
      <x v="63"/>
    </i>
    <i>
      <x v="54"/>
    </i>
    <i>
      <x v="50"/>
    </i>
    <i>
      <x v="14"/>
    </i>
    <i>
      <x v="8"/>
    </i>
    <i>
      <x v="1"/>
    </i>
    <i>
      <x v="28"/>
    </i>
    <i>
      <x v="48"/>
    </i>
    <i>
      <x v="47"/>
    </i>
    <i>
      <x v="25"/>
    </i>
    <i>
      <x v="57"/>
    </i>
    <i>
      <x v="64"/>
    </i>
    <i>
      <x v="72"/>
    </i>
    <i>
      <x v="43"/>
    </i>
    <i>
      <x v="11"/>
    </i>
    <i>
      <x v="49"/>
    </i>
    <i>
      <x v="24"/>
    </i>
    <i>
      <x v="9"/>
    </i>
    <i>
      <x v="45"/>
    </i>
    <i>
      <x v="6"/>
    </i>
    <i>
      <x v="29"/>
    </i>
    <i>
      <x v="71"/>
    </i>
    <i>
      <x v="10"/>
    </i>
    <i>
      <x v="23"/>
    </i>
    <i>
      <x v="73"/>
    </i>
    <i t="grand">
      <x/>
    </i>
  </rowItems>
  <colItems count="1">
    <i/>
  </colItems>
  <dataFields count="1">
    <dataField name="Sum of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2F57-927A-4A34-924A-7B6586E04D25}">
  <dimension ref="A1:K120"/>
  <sheetViews>
    <sheetView workbookViewId="0">
      <selection activeCell="K12" sqref="K12"/>
    </sheetView>
  </sheetViews>
  <sheetFormatPr defaultRowHeight="14.25"/>
  <cols>
    <col min="1" max="1" width="8.625" customWidth="1"/>
    <col min="2" max="2" width="21.125" customWidth="1"/>
    <col min="3" max="3" width="27.875" customWidth="1"/>
    <col min="4" max="4" width="15.875" customWidth="1"/>
    <col min="5" max="5" width="10.25" customWidth="1"/>
    <col min="6" max="6" width="12.25" customWidth="1"/>
    <col min="7" max="7" width="15.75" customWidth="1"/>
    <col min="8" max="8" width="15.75" bestFit="1" customWidth="1"/>
    <col min="9" max="9" width="14.875" customWidth="1"/>
    <col min="10" max="10" width="28.875" customWidth="1"/>
    <col min="11" max="11" width="20.625" bestFit="1" customWidth="1"/>
    <col min="12" max="12" width="5.625" bestFit="1" customWidth="1"/>
    <col min="13" max="41" width="6.625" bestFit="1" customWidth="1"/>
    <col min="42" max="60" width="7.75" bestFit="1" customWidth="1"/>
    <col min="61" max="64" width="9.375" bestFit="1" customWidth="1"/>
    <col min="65" max="65" width="11.125" bestFit="1" customWidth="1"/>
  </cols>
  <sheetData>
    <row r="1" spans="1:11" ht="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6" t="s">
        <v>9</v>
      </c>
      <c r="K1" s="20"/>
    </row>
    <row r="2" spans="1:11" ht="15">
      <c r="A2" s="10" t="s">
        <v>10</v>
      </c>
      <c r="B2" s="10" t="s">
        <v>11</v>
      </c>
      <c r="C2" s="10" t="s">
        <v>12</v>
      </c>
      <c r="D2" s="10" t="s">
        <v>2</v>
      </c>
      <c r="E2" s="10">
        <v>28</v>
      </c>
      <c r="F2" s="11">
        <f>G2+H2</f>
        <v>3024</v>
      </c>
      <c r="G2" s="11">
        <f>E2*108</f>
        <v>3024</v>
      </c>
      <c r="H2" s="11">
        <v>0</v>
      </c>
      <c r="I2" s="19">
        <f>SUM(G2:H2)</f>
        <v>3024</v>
      </c>
      <c r="J2" s="10" t="s">
        <v>13</v>
      </c>
      <c r="K2" s="21"/>
    </row>
    <row r="3" spans="1:11" ht="15">
      <c r="A3" s="10" t="s">
        <v>10</v>
      </c>
      <c r="B3" s="10" t="s">
        <v>11</v>
      </c>
      <c r="C3" s="10" t="s">
        <v>14</v>
      </c>
      <c r="D3" s="10" t="s">
        <v>2</v>
      </c>
      <c r="E3" s="10">
        <v>10</v>
      </c>
      <c r="F3" s="11">
        <f t="shared" ref="F3:F4" si="0">G3+H3</f>
        <v>1980</v>
      </c>
      <c r="G3" s="11">
        <f>E3*198</f>
        <v>1980</v>
      </c>
      <c r="H3" s="11">
        <v>0</v>
      </c>
      <c r="I3" s="19">
        <f t="shared" ref="I3:I4" si="1">SUM(G3:H3)</f>
        <v>1980</v>
      </c>
      <c r="J3" s="10"/>
      <c r="K3" s="21"/>
    </row>
    <row r="4" spans="1:11" ht="15">
      <c r="A4" s="10" t="s">
        <v>10</v>
      </c>
      <c r="B4" s="10" t="s">
        <v>11</v>
      </c>
      <c r="C4" s="10" t="s">
        <v>15</v>
      </c>
      <c r="D4" s="10" t="s">
        <v>2</v>
      </c>
      <c r="E4" s="10">
        <v>3</v>
      </c>
      <c r="F4" s="11">
        <f t="shared" si="0"/>
        <v>894</v>
      </c>
      <c r="G4" s="11">
        <f>E4*298</f>
        <v>894</v>
      </c>
      <c r="H4" s="11">
        <v>0</v>
      </c>
      <c r="I4" s="19">
        <f t="shared" si="1"/>
        <v>894</v>
      </c>
      <c r="J4" s="10"/>
      <c r="K4" s="21"/>
    </row>
    <row r="5" spans="1:11" ht="15">
      <c r="A5" s="13" t="s">
        <v>10</v>
      </c>
      <c r="B5" s="13" t="s">
        <v>11</v>
      </c>
      <c r="C5" s="13" t="s">
        <v>16</v>
      </c>
      <c r="D5" s="13" t="s">
        <v>17</v>
      </c>
      <c r="E5" s="13">
        <f>SUM(E2:E4)</f>
        <v>41</v>
      </c>
      <c r="F5" s="14">
        <f>SUM(F2:F4)</f>
        <v>5898</v>
      </c>
      <c r="G5" s="14">
        <f>SUM(G2:G4)</f>
        <v>5898</v>
      </c>
      <c r="H5" s="14">
        <f>SUM(H2:H4)</f>
        <v>0</v>
      </c>
      <c r="I5" s="14">
        <f>SUM(I2:I4)</f>
        <v>5898</v>
      </c>
      <c r="J5" s="10"/>
      <c r="K5" s="21"/>
    </row>
    <row r="6" spans="1:11" ht="15">
      <c r="A6" s="10" t="s">
        <v>10</v>
      </c>
      <c r="B6" s="10" t="s">
        <v>18</v>
      </c>
      <c r="C6" s="10" t="s">
        <v>19</v>
      </c>
      <c r="D6" s="10" t="s">
        <v>2</v>
      </c>
      <c r="E6" s="10">
        <v>19</v>
      </c>
      <c r="F6" s="11">
        <f t="shared" ref="F6:F13" si="2">G6+H6</f>
        <v>684</v>
      </c>
      <c r="G6" s="11">
        <f>E6*36</f>
        <v>684</v>
      </c>
      <c r="H6" s="11">
        <v>0</v>
      </c>
      <c r="I6" s="19">
        <f t="shared" ref="I6:I13" si="3">SUM(G6:H6)</f>
        <v>684</v>
      </c>
      <c r="J6" s="10"/>
      <c r="K6" s="21"/>
    </row>
    <row r="7" spans="1:11" ht="15">
      <c r="A7" s="10" t="s">
        <v>10</v>
      </c>
      <c r="B7" s="10" t="s">
        <v>18</v>
      </c>
      <c r="C7" s="10" t="s">
        <v>20</v>
      </c>
      <c r="D7" s="10" t="s">
        <v>2</v>
      </c>
      <c r="E7" s="10">
        <v>8</v>
      </c>
      <c r="F7" s="11">
        <f t="shared" si="2"/>
        <v>440</v>
      </c>
      <c r="G7" s="11">
        <f>E7*55</f>
        <v>440</v>
      </c>
      <c r="H7" s="11">
        <v>0</v>
      </c>
      <c r="I7" s="19">
        <f t="shared" si="3"/>
        <v>440</v>
      </c>
      <c r="J7" s="10"/>
      <c r="K7" s="21"/>
    </row>
    <row r="8" spans="1:11" ht="15">
      <c r="A8" s="10" t="s">
        <v>10</v>
      </c>
      <c r="B8" s="10" t="s">
        <v>18</v>
      </c>
      <c r="C8" s="10" t="s">
        <v>21</v>
      </c>
      <c r="D8" s="10" t="s">
        <v>2</v>
      </c>
      <c r="E8" s="10">
        <v>14</v>
      </c>
      <c r="F8" s="11">
        <f t="shared" si="2"/>
        <v>658</v>
      </c>
      <c r="G8" s="11">
        <f>E8*47</f>
        <v>658</v>
      </c>
      <c r="H8" s="11">
        <v>0</v>
      </c>
      <c r="I8" s="19">
        <f t="shared" si="3"/>
        <v>658</v>
      </c>
      <c r="J8" s="10"/>
      <c r="K8" s="21"/>
    </row>
    <row r="9" spans="1:11" ht="15">
      <c r="A9" s="10" t="s">
        <v>10</v>
      </c>
      <c r="B9" s="10" t="s">
        <v>18</v>
      </c>
      <c r="C9" s="10" t="s">
        <v>22</v>
      </c>
      <c r="D9" s="10" t="s">
        <v>2</v>
      </c>
      <c r="E9" s="10">
        <v>3</v>
      </c>
      <c r="F9" s="11">
        <f t="shared" si="2"/>
        <v>108</v>
      </c>
      <c r="G9" s="11">
        <f>E9*36</f>
        <v>108</v>
      </c>
      <c r="H9" s="11">
        <v>0</v>
      </c>
      <c r="I9" s="19">
        <f t="shared" si="3"/>
        <v>108</v>
      </c>
      <c r="J9" s="10"/>
      <c r="K9" s="21"/>
    </row>
    <row r="10" spans="1:11" ht="15">
      <c r="A10" s="10" t="s">
        <v>10</v>
      </c>
      <c r="B10" s="10" t="s">
        <v>18</v>
      </c>
      <c r="C10" s="10" t="s">
        <v>23</v>
      </c>
      <c r="D10" s="10" t="s">
        <v>2</v>
      </c>
      <c r="E10" s="10">
        <v>3</v>
      </c>
      <c r="F10" s="11">
        <f>G10+H10</f>
        <v>75</v>
      </c>
      <c r="G10" s="11">
        <f>E10*25</f>
        <v>75</v>
      </c>
      <c r="H10" s="11">
        <v>0</v>
      </c>
      <c r="I10" s="19">
        <f t="shared" si="3"/>
        <v>75</v>
      </c>
      <c r="J10" s="10"/>
      <c r="K10" s="21"/>
    </row>
    <row r="11" spans="1:11" ht="15">
      <c r="A11" s="10" t="s">
        <v>10</v>
      </c>
      <c r="B11" s="10" t="s">
        <v>18</v>
      </c>
      <c r="C11" s="10" t="s">
        <v>24</v>
      </c>
      <c r="D11" s="10" t="s">
        <v>2</v>
      </c>
      <c r="E11" s="10">
        <v>3</v>
      </c>
      <c r="F11" s="11">
        <f t="shared" si="2"/>
        <v>105</v>
      </c>
      <c r="G11" s="11">
        <f>E11*35</f>
        <v>105</v>
      </c>
      <c r="H11" s="11">
        <v>0</v>
      </c>
      <c r="I11" s="19">
        <f t="shared" si="3"/>
        <v>105</v>
      </c>
      <c r="J11" s="10"/>
      <c r="K11" s="21"/>
    </row>
    <row r="12" spans="1:11" ht="15">
      <c r="A12" s="10" t="s">
        <v>10</v>
      </c>
      <c r="B12" s="10" t="s">
        <v>18</v>
      </c>
      <c r="C12" s="10" t="s">
        <v>25</v>
      </c>
      <c r="D12" s="10" t="s">
        <v>2</v>
      </c>
      <c r="E12" s="10">
        <v>1</v>
      </c>
      <c r="F12" s="11">
        <f t="shared" si="2"/>
        <v>20</v>
      </c>
      <c r="G12" s="11">
        <f>E12*20</f>
        <v>20</v>
      </c>
      <c r="H12" s="11">
        <v>0</v>
      </c>
      <c r="I12" s="19">
        <f t="shared" si="3"/>
        <v>20</v>
      </c>
      <c r="J12" s="10"/>
      <c r="K12" s="21"/>
    </row>
    <row r="13" spans="1:11" ht="15">
      <c r="A13" s="10" t="s">
        <v>10</v>
      </c>
      <c r="B13" s="10" t="s">
        <v>18</v>
      </c>
      <c r="C13" s="10" t="s">
        <v>26</v>
      </c>
      <c r="D13" s="10" t="s">
        <v>2</v>
      </c>
      <c r="E13" s="10">
        <v>5</v>
      </c>
      <c r="F13" s="11">
        <f t="shared" si="2"/>
        <v>100</v>
      </c>
      <c r="G13" s="11">
        <f>E13*20</f>
        <v>100</v>
      </c>
      <c r="H13" s="11">
        <v>0</v>
      </c>
      <c r="I13" s="19">
        <f t="shared" si="3"/>
        <v>100</v>
      </c>
      <c r="J13" s="10"/>
      <c r="K13" s="21"/>
    </row>
    <row r="14" spans="1:11" ht="15">
      <c r="A14" s="13" t="s">
        <v>10</v>
      </c>
      <c r="B14" s="13" t="s">
        <v>18</v>
      </c>
      <c r="C14" s="13" t="s">
        <v>16</v>
      </c>
      <c r="D14" s="13" t="s">
        <v>17</v>
      </c>
      <c r="E14" s="13">
        <f>SUM(E6:E13)</f>
        <v>56</v>
      </c>
      <c r="F14" s="14">
        <f>SUM(F6:F13)</f>
        <v>2190</v>
      </c>
      <c r="G14" s="14">
        <f>SUM(G6:G13)</f>
        <v>2190</v>
      </c>
      <c r="H14" s="14">
        <f>SUM(H6:H13)</f>
        <v>0</v>
      </c>
      <c r="I14" s="14">
        <f>SUM(I6:I13)</f>
        <v>2190</v>
      </c>
      <c r="J14" s="10"/>
      <c r="K14" s="21"/>
    </row>
    <row r="15" spans="1:11" ht="15">
      <c r="A15" s="10" t="s">
        <v>10</v>
      </c>
      <c r="B15" s="10" t="s">
        <v>27</v>
      </c>
      <c r="C15" s="10" t="s">
        <v>28</v>
      </c>
      <c r="D15" s="10" t="s">
        <v>2</v>
      </c>
      <c r="E15" s="10">
        <v>19</v>
      </c>
      <c r="F15" s="11">
        <f>G15+H15</f>
        <v>380</v>
      </c>
      <c r="G15" s="11">
        <f>E15*20</f>
        <v>380</v>
      </c>
      <c r="H15" s="11">
        <v>0</v>
      </c>
      <c r="I15" s="19">
        <f t="shared" ref="I15:I22" si="4">SUM(G15:H15)</f>
        <v>380</v>
      </c>
      <c r="J15" s="10"/>
      <c r="K15" s="21"/>
    </row>
    <row r="16" spans="1:11" ht="15">
      <c r="A16" s="10" t="s">
        <v>10</v>
      </c>
      <c r="B16" s="10" t="s">
        <v>27</v>
      </c>
      <c r="C16" s="10" t="s">
        <v>29</v>
      </c>
      <c r="D16" s="10" t="s">
        <v>2</v>
      </c>
      <c r="E16" s="10">
        <v>14</v>
      </c>
      <c r="F16" s="11">
        <f>G16+H16</f>
        <v>349.85999999999996</v>
      </c>
      <c r="G16" s="11">
        <f>E16*24.99</f>
        <v>349.85999999999996</v>
      </c>
      <c r="H16" s="11">
        <v>0</v>
      </c>
      <c r="I16" s="19">
        <f t="shared" si="4"/>
        <v>349.85999999999996</v>
      </c>
      <c r="J16" s="10"/>
      <c r="K16" s="21"/>
    </row>
    <row r="17" spans="1:11" ht="15">
      <c r="A17" s="10" t="s">
        <v>10</v>
      </c>
      <c r="B17" s="10" t="s">
        <v>27</v>
      </c>
      <c r="C17" s="10" t="s">
        <v>30</v>
      </c>
      <c r="D17" s="10" t="s">
        <v>2</v>
      </c>
      <c r="E17" s="10">
        <v>11</v>
      </c>
      <c r="F17" s="11">
        <f t="shared" ref="F17:F24" si="5">G17+H17</f>
        <v>242</v>
      </c>
      <c r="G17" s="11">
        <f>E17*22</f>
        <v>242</v>
      </c>
      <c r="H17" s="11">
        <v>0</v>
      </c>
      <c r="I17" s="19">
        <f t="shared" si="4"/>
        <v>242</v>
      </c>
      <c r="J17" s="10"/>
      <c r="K17" s="21"/>
    </row>
    <row r="18" spans="1:11" ht="15">
      <c r="A18" s="10" t="s">
        <v>10</v>
      </c>
      <c r="B18" s="10" t="s">
        <v>27</v>
      </c>
      <c r="C18" s="10" t="s">
        <v>31</v>
      </c>
      <c r="D18" s="10" t="s">
        <v>2</v>
      </c>
      <c r="E18" s="10">
        <v>2</v>
      </c>
      <c r="F18" s="11">
        <f>G18+H18</f>
        <v>44</v>
      </c>
      <c r="G18" s="11">
        <f>E18*22</f>
        <v>44</v>
      </c>
      <c r="H18" s="11">
        <v>0</v>
      </c>
      <c r="I18" s="19">
        <f t="shared" si="4"/>
        <v>44</v>
      </c>
      <c r="J18" s="10"/>
      <c r="K18" s="21"/>
    </row>
    <row r="19" spans="1:11" ht="15">
      <c r="A19" s="10" t="s">
        <v>10</v>
      </c>
      <c r="B19" s="10" t="s">
        <v>27</v>
      </c>
      <c r="C19" s="10" t="s">
        <v>32</v>
      </c>
      <c r="D19" s="10" t="s">
        <v>2</v>
      </c>
      <c r="E19" s="10">
        <v>10</v>
      </c>
      <c r="F19" s="11">
        <f t="shared" si="5"/>
        <v>200</v>
      </c>
      <c r="G19" s="11">
        <f>E19*20</f>
        <v>200</v>
      </c>
      <c r="H19" s="11">
        <v>0</v>
      </c>
      <c r="I19" s="19">
        <f t="shared" si="4"/>
        <v>200</v>
      </c>
      <c r="J19" s="10"/>
      <c r="K19" s="21"/>
    </row>
    <row r="20" spans="1:11" ht="15">
      <c r="A20" s="10" t="s">
        <v>10</v>
      </c>
      <c r="B20" s="10" t="s">
        <v>27</v>
      </c>
      <c r="C20" s="10" t="s">
        <v>33</v>
      </c>
      <c r="D20" s="10" t="s">
        <v>2</v>
      </c>
      <c r="E20" s="10">
        <v>13</v>
      </c>
      <c r="F20" s="11">
        <f t="shared" si="5"/>
        <v>286</v>
      </c>
      <c r="G20" s="11">
        <f>E20*22</f>
        <v>286</v>
      </c>
      <c r="H20" s="11">
        <v>0</v>
      </c>
      <c r="I20" s="19">
        <f t="shared" si="4"/>
        <v>286</v>
      </c>
      <c r="J20" s="10"/>
      <c r="K20" s="21"/>
    </row>
    <row r="21" spans="1:11" ht="15">
      <c r="A21" s="10" t="s">
        <v>10</v>
      </c>
      <c r="B21" s="10" t="s">
        <v>27</v>
      </c>
      <c r="C21" s="10" t="s">
        <v>34</v>
      </c>
      <c r="D21" s="10" t="s">
        <v>2</v>
      </c>
      <c r="E21" s="10">
        <v>3</v>
      </c>
      <c r="F21" s="11">
        <f t="shared" si="5"/>
        <v>57</v>
      </c>
      <c r="G21" s="11">
        <f>E21*19</f>
        <v>57</v>
      </c>
      <c r="H21" s="11">
        <v>0</v>
      </c>
      <c r="I21" s="19">
        <f t="shared" si="4"/>
        <v>57</v>
      </c>
      <c r="J21" s="10"/>
      <c r="K21" s="21"/>
    </row>
    <row r="22" spans="1:11" ht="15">
      <c r="A22" s="10" t="s">
        <v>10</v>
      </c>
      <c r="B22" s="10" t="s">
        <v>27</v>
      </c>
      <c r="C22" s="10" t="s">
        <v>35</v>
      </c>
      <c r="D22" s="10" t="s">
        <v>2</v>
      </c>
      <c r="E22" s="10">
        <v>4</v>
      </c>
      <c r="F22" s="11">
        <f t="shared" si="5"/>
        <v>76</v>
      </c>
      <c r="G22" s="11">
        <f>E22*19</f>
        <v>76</v>
      </c>
      <c r="H22" s="11">
        <v>0</v>
      </c>
      <c r="I22" s="19">
        <f t="shared" si="4"/>
        <v>76</v>
      </c>
      <c r="J22" s="10"/>
      <c r="K22" s="21"/>
    </row>
    <row r="23" spans="1:11" ht="15">
      <c r="A23" s="13" t="s">
        <v>10</v>
      </c>
      <c r="B23" s="13" t="s">
        <v>27</v>
      </c>
      <c r="C23" s="13" t="s">
        <v>16</v>
      </c>
      <c r="D23" s="13" t="s">
        <v>17</v>
      </c>
      <c r="E23" s="13">
        <f>SUM(E15:E22)</f>
        <v>76</v>
      </c>
      <c r="F23" s="14">
        <f>SUM(F15:F22)</f>
        <v>1634.86</v>
      </c>
      <c r="G23" s="14">
        <f>SUM(G15:G22)</f>
        <v>1634.86</v>
      </c>
      <c r="H23" s="14">
        <f>SUM(H15:H22)</f>
        <v>0</v>
      </c>
      <c r="I23" s="14">
        <f>SUM(I15:I22)</f>
        <v>1634.86</v>
      </c>
      <c r="J23" s="10"/>
      <c r="K23" s="21"/>
    </row>
    <row r="24" spans="1:11" ht="15">
      <c r="A24" s="10" t="s">
        <v>10</v>
      </c>
      <c r="B24" s="10" t="s">
        <v>36</v>
      </c>
      <c r="C24" s="10" t="s">
        <v>37</v>
      </c>
      <c r="D24" s="10" t="s">
        <v>2</v>
      </c>
      <c r="E24" s="10">
        <v>13</v>
      </c>
      <c r="F24" s="11">
        <f t="shared" ref="F24:F32" si="6">G24+H24</f>
        <v>91</v>
      </c>
      <c r="G24" s="11">
        <f>E24*7</f>
        <v>91</v>
      </c>
      <c r="H24" s="11">
        <v>0</v>
      </c>
      <c r="I24" s="19">
        <f t="shared" ref="I24:I32" si="7">SUM(G24:H24)</f>
        <v>91</v>
      </c>
      <c r="J24" s="10"/>
      <c r="K24" s="21"/>
    </row>
    <row r="25" spans="1:11" ht="15">
      <c r="A25" s="10" t="s">
        <v>10</v>
      </c>
      <c r="B25" s="10" t="s">
        <v>36</v>
      </c>
      <c r="C25" s="10" t="s">
        <v>38</v>
      </c>
      <c r="D25" s="10" t="s">
        <v>2</v>
      </c>
      <c r="E25" s="10">
        <v>8</v>
      </c>
      <c r="F25" s="11">
        <f t="shared" si="6"/>
        <v>90</v>
      </c>
      <c r="G25" s="11">
        <v>90</v>
      </c>
      <c r="H25" s="11">
        <v>0</v>
      </c>
      <c r="I25" s="19">
        <f t="shared" si="7"/>
        <v>90</v>
      </c>
      <c r="J25" s="10" t="s">
        <v>39</v>
      </c>
      <c r="K25" s="21"/>
    </row>
    <row r="26" spans="1:11" ht="15">
      <c r="A26" s="10" t="s">
        <v>10</v>
      </c>
      <c r="B26" s="10" t="s">
        <v>36</v>
      </c>
      <c r="C26" s="10" t="s">
        <v>40</v>
      </c>
      <c r="D26" s="10" t="s">
        <v>2</v>
      </c>
      <c r="E26" s="10">
        <v>5</v>
      </c>
      <c r="F26" s="11">
        <f t="shared" si="6"/>
        <v>35</v>
      </c>
      <c r="G26" s="11">
        <f>E26*7</f>
        <v>35</v>
      </c>
      <c r="H26" s="11">
        <v>0</v>
      </c>
      <c r="I26" s="19">
        <f t="shared" si="7"/>
        <v>35</v>
      </c>
      <c r="J26" s="10"/>
      <c r="K26" s="21"/>
    </row>
    <row r="27" spans="1:11" ht="15">
      <c r="A27" s="10" t="s">
        <v>10</v>
      </c>
      <c r="B27" s="10" t="s">
        <v>36</v>
      </c>
      <c r="C27" s="10" t="s">
        <v>41</v>
      </c>
      <c r="D27" s="10" t="s">
        <v>2</v>
      </c>
      <c r="E27" s="10">
        <v>17</v>
      </c>
      <c r="F27" s="11">
        <f t="shared" si="6"/>
        <v>94.5</v>
      </c>
      <c r="G27" s="11">
        <f>E27*3.5</f>
        <v>59.5</v>
      </c>
      <c r="H27" s="11">
        <v>35</v>
      </c>
      <c r="I27" s="19">
        <f t="shared" si="7"/>
        <v>94.5</v>
      </c>
      <c r="J27" s="10" t="s">
        <v>42</v>
      </c>
      <c r="K27" s="21"/>
    </row>
    <row r="28" spans="1:11" ht="15">
      <c r="A28" s="10" t="s">
        <v>10</v>
      </c>
      <c r="B28" s="10" t="s">
        <v>36</v>
      </c>
      <c r="C28" s="10" t="s">
        <v>43</v>
      </c>
      <c r="D28" s="10" t="s">
        <v>2</v>
      </c>
      <c r="E28" s="10">
        <v>8</v>
      </c>
      <c r="F28" s="11">
        <f t="shared" si="6"/>
        <v>56</v>
      </c>
      <c r="G28" s="11">
        <f>E28*7</f>
        <v>56</v>
      </c>
      <c r="H28" s="11">
        <v>0</v>
      </c>
      <c r="I28" s="19">
        <f t="shared" si="7"/>
        <v>56</v>
      </c>
      <c r="J28" s="10"/>
      <c r="K28" s="21"/>
    </row>
    <row r="29" spans="1:11" ht="15">
      <c r="A29" s="10" t="s">
        <v>10</v>
      </c>
      <c r="B29" s="10" t="s">
        <v>36</v>
      </c>
      <c r="C29" s="10" t="s">
        <v>44</v>
      </c>
      <c r="D29" s="10" t="s">
        <v>2</v>
      </c>
      <c r="E29" s="10">
        <v>9</v>
      </c>
      <c r="F29" s="11">
        <f t="shared" si="6"/>
        <v>85</v>
      </c>
      <c r="G29" s="11">
        <f>38+47</f>
        <v>85</v>
      </c>
      <c r="H29" s="11">
        <v>0</v>
      </c>
      <c r="I29" s="19">
        <f t="shared" si="7"/>
        <v>85</v>
      </c>
      <c r="J29" s="10" t="s">
        <v>45</v>
      </c>
      <c r="K29" s="21"/>
    </row>
    <row r="30" spans="1:11" ht="15">
      <c r="A30" s="10" t="s">
        <v>10</v>
      </c>
      <c r="B30" s="10" t="s">
        <v>36</v>
      </c>
      <c r="C30" s="10" t="s">
        <v>46</v>
      </c>
      <c r="D30" s="10" t="s">
        <v>2</v>
      </c>
      <c r="E30" s="10">
        <v>14</v>
      </c>
      <c r="F30" s="11">
        <f>G30+H30</f>
        <v>49</v>
      </c>
      <c r="G30" s="11">
        <f>E30*3.5</f>
        <v>49</v>
      </c>
      <c r="H30" s="11">
        <v>0</v>
      </c>
      <c r="I30" s="19">
        <f t="shared" si="7"/>
        <v>49</v>
      </c>
      <c r="J30" s="10"/>
      <c r="K30" s="21"/>
    </row>
    <row r="31" spans="1:11" ht="15">
      <c r="A31" s="10" t="s">
        <v>10</v>
      </c>
      <c r="B31" s="10" t="s">
        <v>36</v>
      </c>
      <c r="C31" s="10" t="s">
        <v>47</v>
      </c>
      <c r="D31" s="10" t="s">
        <v>2</v>
      </c>
      <c r="E31" s="10">
        <v>16</v>
      </c>
      <c r="F31" s="11">
        <f t="shared" si="6"/>
        <v>70</v>
      </c>
      <c r="G31" s="11">
        <f>E31*3.5</f>
        <v>56</v>
      </c>
      <c r="H31" s="11">
        <v>14</v>
      </c>
      <c r="I31" s="19">
        <f t="shared" si="7"/>
        <v>70</v>
      </c>
      <c r="J31" s="10"/>
      <c r="K31" s="21"/>
    </row>
    <row r="32" spans="1:11" ht="15">
      <c r="A32" s="10" t="s">
        <v>10</v>
      </c>
      <c r="B32" s="10" t="s">
        <v>36</v>
      </c>
      <c r="C32" s="10" t="s">
        <v>48</v>
      </c>
      <c r="D32" s="10" t="s">
        <v>2</v>
      </c>
      <c r="E32" s="10">
        <v>5</v>
      </c>
      <c r="F32" s="11">
        <f t="shared" si="6"/>
        <v>28</v>
      </c>
      <c r="G32" s="11">
        <f>E32*3.5</f>
        <v>17.5</v>
      </c>
      <c r="H32" s="11">
        <v>10.5</v>
      </c>
      <c r="I32" s="19">
        <f t="shared" si="7"/>
        <v>28</v>
      </c>
      <c r="J32" s="10" t="s">
        <v>49</v>
      </c>
      <c r="K32" s="21"/>
    </row>
    <row r="33" spans="1:11" ht="15">
      <c r="A33" s="10" t="s">
        <v>10</v>
      </c>
      <c r="B33" s="10" t="s">
        <v>36</v>
      </c>
      <c r="C33" s="10" t="s">
        <v>50</v>
      </c>
      <c r="D33" s="10" t="s">
        <v>2</v>
      </c>
      <c r="E33" s="10">
        <v>15</v>
      </c>
      <c r="F33" s="11">
        <f>G33+H33</f>
        <v>66.5</v>
      </c>
      <c r="G33" s="11">
        <f>E33*3.5</f>
        <v>52.5</v>
      </c>
      <c r="H33" s="11">
        <v>14</v>
      </c>
      <c r="I33" s="19">
        <f>SUM(G33:H33)</f>
        <v>66.5</v>
      </c>
      <c r="J33" s="10"/>
      <c r="K33" s="21"/>
    </row>
    <row r="34" spans="1:11" ht="15">
      <c r="A34" s="10" t="s">
        <v>10</v>
      </c>
      <c r="B34" s="10" t="s">
        <v>36</v>
      </c>
      <c r="C34" s="10" t="s">
        <v>51</v>
      </c>
      <c r="D34" s="10" t="s">
        <v>2</v>
      </c>
      <c r="E34" s="10">
        <v>5</v>
      </c>
      <c r="F34" s="11">
        <f>G34+H34</f>
        <v>20</v>
      </c>
      <c r="G34" s="11">
        <f>E34*4</f>
        <v>20</v>
      </c>
      <c r="H34" s="11">
        <v>0</v>
      </c>
      <c r="I34" s="19">
        <f>SUM(G34:H34)</f>
        <v>20</v>
      </c>
      <c r="J34" s="10"/>
      <c r="K34" s="21"/>
    </row>
    <row r="35" spans="1:11" ht="15">
      <c r="A35" s="10" t="s">
        <v>10</v>
      </c>
      <c r="B35" s="10" t="s">
        <v>36</v>
      </c>
      <c r="C35" s="10" t="s">
        <v>52</v>
      </c>
      <c r="D35" s="10" t="s">
        <v>2</v>
      </c>
      <c r="E35" s="10">
        <v>2</v>
      </c>
      <c r="F35" s="11">
        <f>G35+H35</f>
        <v>9</v>
      </c>
      <c r="G35" s="11">
        <f>E35*4.5</f>
        <v>9</v>
      </c>
      <c r="H35" s="11">
        <v>0</v>
      </c>
      <c r="I35" s="19">
        <f>SUM(G35:H35)</f>
        <v>9</v>
      </c>
      <c r="J35" s="10"/>
      <c r="K35" s="21"/>
    </row>
    <row r="36" spans="1:11" ht="15">
      <c r="A36" s="10" t="s">
        <v>10</v>
      </c>
      <c r="B36" s="10" t="s">
        <v>36</v>
      </c>
      <c r="C36" s="10" t="s">
        <v>53</v>
      </c>
      <c r="D36" s="10" t="s">
        <v>2</v>
      </c>
      <c r="E36" s="10">
        <v>2</v>
      </c>
      <c r="F36" s="11">
        <f>G36+H36</f>
        <v>7</v>
      </c>
      <c r="G36" s="11">
        <f>E36*3.5</f>
        <v>7</v>
      </c>
      <c r="H36" s="11">
        <v>0</v>
      </c>
      <c r="I36" s="19">
        <f>SUM(G36:H36)</f>
        <v>7</v>
      </c>
      <c r="J36" s="10"/>
      <c r="K36" s="21"/>
    </row>
    <row r="37" spans="1:11" ht="15">
      <c r="A37" s="13" t="s">
        <v>10</v>
      </c>
      <c r="B37" s="13" t="s">
        <v>36</v>
      </c>
      <c r="C37" s="13" t="s">
        <v>16</v>
      </c>
      <c r="D37" s="13" t="s">
        <v>17</v>
      </c>
      <c r="E37" s="13">
        <f>SUM(E24:E36)</f>
        <v>119</v>
      </c>
      <c r="F37" s="14">
        <f>SUM(F24:F36)</f>
        <v>701</v>
      </c>
      <c r="G37" s="14">
        <f>SUM(G24:G36)</f>
        <v>627.5</v>
      </c>
      <c r="H37" s="14">
        <f>SUM(H24:H36)</f>
        <v>73.5</v>
      </c>
      <c r="I37" s="14">
        <f>SUM(I24:I36)</f>
        <v>701</v>
      </c>
      <c r="J37" s="10"/>
      <c r="K37" s="21"/>
    </row>
    <row r="38" spans="1:11" ht="15">
      <c r="A38" s="10" t="s">
        <v>10</v>
      </c>
      <c r="B38" s="10" t="s">
        <v>54</v>
      </c>
      <c r="C38" s="10" t="s">
        <v>55</v>
      </c>
      <c r="D38" s="10" t="s">
        <v>2</v>
      </c>
      <c r="E38" s="10">
        <v>6</v>
      </c>
      <c r="F38" s="11">
        <f t="shared" ref="F38:F48" si="8">G38+H38</f>
        <v>54</v>
      </c>
      <c r="G38" s="11">
        <f>E38*9</f>
        <v>54</v>
      </c>
      <c r="H38" s="11">
        <v>0</v>
      </c>
      <c r="I38" s="19">
        <f t="shared" ref="I38:I46" si="9">SUM(G38:H38)</f>
        <v>54</v>
      </c>
      <c r="J38" s="10"/>
      <c r="K38" s="21"/>
    </row>
    <row r="39" spans="1:11" ht="15">
      <c r="A39" s="10" t="s">
        <v>10</v>
      </c>
      <c r="B39" s="10" t="s">
        <v>54</v>
      </c>
      <c r="C39" s="10" t="s">
        <v>56</v>
      </c>
      <c r="D39" s="10" t="s">
        <v>2</v>
      </c>
      <c r="E39" s="10">
        <v>3</v>
      </c>
      <c r="F39" s="11">
        <f t="shared" si="8"/>
        <v>27</v>
      </c>
      <c r="G39" s="11">
        <f>E39*9</f>
        <v>27</v>
      </c>
      <c r="H39" s="11">
        <v>0</v>
      </c>
      <c r="I39" s="19">
        <f t="shared" si="9"/>
        <v>27</v>
      </c>
      <c r="J39" s="10"/>
      <c r="K39" s="21"/>
    </row>
    <row r="40" spans="1:11" ht="15">
      <c r="A40" s="10" t="s">
        <v>10</v>
      </c>
      <c r="B40" s="10" t="s">
        <v>54</v>
      </c>
      <c r="C40" s="10" t="s">
        <v>57</v>
      </c>
      <c r="D40" s="10" t="s">
        <v>2</v>
      </c>
      <c r="E40" s="10">
        <v>1</v>
      </c>
      <c r="F40" s="11">
        <f t="shared" si="8"/>
        <v>11</v>
      </c>
      <c r="G40" s="11">
        <f>E40*11</f>
        <v>11</v>
      </c>
      <c r="H40" s="11">
        <v>0</v>
      </c>
      <c r="I40" s="19">
        <f t="shared" si="9"/>
        <v>11</v>
      </c>
      <c r="J40" s="10"/>
      <c r="K40" s="21"/>
    </row>
    <row r="41" spans="1:11" ht="15">
      <c r="A41" s="10" t="s">
        <v>10</v>
      </c>
      <c r="B41" s="10" t="s">
        <v>54</v>
      </c>
      <c r="C41" s="10" t="s">
        <v>58</v>
      </c>
      <c r="D41" s="10" t="s">
        <v>2</v>
      </c>
      <c r="E41" s="10">
        <v>5</v>
      </c>
      <c r="F41" s="11">
        <f t="shared" si="8"/>
        <v>35</v>
      </c>
      <c r="G41" s="11">
        <f>E41*7</f>
        <v>35</v>
      </c>
      <c r="H41" s="11">
        <v>0</v>
      </c>
      <c r="I41" s="19">
        <f t="shared" si="9"/>
        <v>35</v>
      </c>
      <c r="J41" s="10"/>
      <c r="K41" s="21"/>
    </row>
    <row r="42" spans="1:11" ht="15">
      <c r="A42" s="10" t="s">
        <v>10</v>
      </c>
      <c r="B42" s="10" t="s">
        <v>54</v>
      </c>
      <c r="C42" s="10" t="s">
        <v>59</v>
      </c>
      <c r="D42" s="10" t="s">
        <v>2</v>
      </c>
      <c r="E42" s="10">
        <v>1</v>
      </c>
      <c r="F42" s="11">
        <f t="shared" si="8"/>
        <v>6</v>
      </c>
      <c r="G42" s="11">
        <f>E42*6</f>
        <v>6</v>
      </c>
      <c r="H42" s="11">
        <v>0</v>
      </c>
      <c r="I42" s="19">
        <f t="shared" si="9"/>
        <v>6</v>
      </c>
      <c r="J42" s="10"/>
      <c r="K42" s="21"/>
    </row>
    <row r="43" spans="1:11" ht="15">
      <c r="A43" s="10" t="s">
        <v>10</v>
      </c>
      <c r="B43" s="10" t="s">
        <v>54</v>
      </c>
      <c r="C43" s="10" t="s">
        <v>60</v>
      </c>
      <c r="D43" s="10" t="s">
        <v>2</v>
      </c>
      <c r="E43" s="10">
        <v>2</v>
      </c>
      <c r="F43" s="11">
        <f t="shared" si="8"/>
        <v>12</v>
      </c>
      <c r="G43" s="11">
        <f>E43*6</f>
        <v>12</v>
      </c>
      <c r="H43" s="11">
        <v>0</v>
      </c>
      <c r="I43" s="19">
        <f t="shared" si="9"/>
        <v>12</v>
      </c>
      <c r="J43" s="10"/>
      <c r="K43" s="21"/>
    </row>
    <row r="44" spans="1:11" ht="15">
      <c r="A44" s="10" t="s">
        <v>10</v>
      </c>
      <c r="B44" s="10" t="s">
        <v>54</v>
      </c>
      <c r="C44" s="10" t="s">
        <v>61</v>
      </c>
      <c r="D44" s="10" t="s">
        <v>2</v>
      </c>
      <c r="E44" s="10">
        <v>4</v>
      </c>
      <c r="F44" s="11">
        <f t="shared" si="8"/>
        <v>16</v>
      </c>
      <c r="G44" s="11">
        <f>E44*4</f>
        <v>16</v>
      </c>
      <c r="H44" s="11">
        <v>0</v>
      </c>
      <c r="I44" s="19">
        <f t="shared" si="9"/>
        <v>16</v>
      </c>
      <c r="J44" s="10"/>
      <c r="K44" s="21"/>
    </row>
    <row r="45" spans="1:11" ht="15">
      <c r="A45" s="10" t="s">
        <v>10</v>
      </c>
      <c r="B45" s="10" t="s">
        <v>54</v>
      </c>
      <c r="C45" s="10" t="s">
        <v>62</v>
      </c>
      <c r="D45" s="10" t="s">
        <v>2</v>
      </c>
      <c r="E45" s="10">
        <v>2</v>
      </c>
      <c r="F45" s="11">
        <f t="shared" si="8"/>
        <v>16</v>
      </c>
      <c r="G45" s="11">
        <f>E45*8</f>
        <v>16</v>
      </c>
      <c r="H45" s="11">
        <v>0</v>
      </c>
      <c r="I45" s="19">
        <f t="shared" si="9"/>
        <v>16</v>
      </c>
      <c r="J45" s="10"/>
      <c r="K45" s="21"/>
    </row>
    <row r="46" spans="1:11" ht="15">
      <c r="A46" s="10" t="s">
        <v>10</v>
      </c>
      <c r="B46" s="10" t="s">
        <v>54</v>
      </c>
      <c r="C46" s="10" t="s">
        <v>63</v>
      </c>
      <c r="D46" s="10" t="s">
        <v>2</v>
      </c>
      <c r="E46" s="10">
        <v>5</v>
      </c>
      <c r="F46" s="11">
        <f t="shared" si="8"/>
        <v>25</v>
      </c>
      <c r="G46" s="11">
        <f>E46*5</f>
        <v>25</v>
      </c>
      <c r="H46" s="11">
        <v>0</v>
      </c>
      <c r="I46" s="19">
        <f t="shared" si="9"/>
        <v>25</v>
      </c>
      <c r="J46" s="10"/>
      <c r="K46" s="21"/>
    </row>
    <row r="47" spans="1:11" ht="15">
      <c r="A47" s="10" t="s">
        <v>10</v>
      </c>
      <c r="B47" s="10" t="s">
        <v>54</v>
      </c>
      <c r="C47" s="10" t="s">
        <v>64</v>
      </c>
      <c r="D47" s="10" t="s">
        <v>2</v>
      </c>
      <c r="E47" s="10">
        <v>7</v>
      </c>
      <c r="F47" s="11">
        <f t="shared" si="8"/>
        <v>84</v>
      </c>
      <c r="G47" s="11">
        <f>E47*12</f>
        <v>84</v>
      </c>
      <c r="H47" s="11">
        <v>0</v>
      </c>
      <c r="I47" s="19">
        <f>SUM(G47:H47)</f>
        <v>84</v>
      </c>
      <c r="J47" s="10"/>
      <c r="K47" s="21"/>
    </row>
    <row r="48" spans="1:11" ht="15">
      <c r="A48" s="10" t="s">
        <v>10</v>
      </c>
      <c r="B48" s="10" t="s">
        <v>54</v>
      </c>
      <c r="C48" s="10" t="s">
        <v>65</v>
      </c>
      <c r="D48" s="10" t="s">
        <v>2</v>
      </c>
      <c r="E48" s="10">
        <v>6</v>
      </c>
      <c r="F48" s="11">
        <f t="shared" si="8"/>
        <v>42</v>
      </c>
      <c r="G48" s="11">
        <f>E48*7</f>
        <v>42</v>
      </c>
      <c r="H48" s="11">
        <v>0</v>
      </c>
      <c r="I48" s="19">
        <f>SUM(G48:H48)</f>
        <v>42</v>
      </c>
      <c r="J48" s="10"/>
      <c r="K48" s="21"/>
    </row>
    <row r="49" spans="1:11" ht="15">
      <c r="A49" s="10" t="s">
        <v>10</v>
      </c>
      <c r="B49" s="10" t="s">
        <v>54</v>
      </c>
      <c r="C49" s="10" t="s">
        <v>66</v>
      </c>
      <c r="D49" s="10" t="s">
        <v>2</v>
      </c>
      <c r="E49" s="10">
        <v>3</v>
      </c>
      <c r="F49" s="11">
        <f>G49+H49</f>
        <v>18</v>
      </c>
      <c r="G49" s="11">
        <f>E49*6</f>
        <v>18</v>
      </c>
      <c r="H49" s="11">
        <v>0</v>
      </c>
      <c r="I49" s="11">
        <f>J49+K49</f>
        <v>0</v>
      </c>
      <c r="J49" s="10"/>
      <c r="K49" s="21"/>
    </row>
    <row r="50" spans="1:11" ht="15">
      <c r="A50" s="10" t="s">
        <v>10</v>
      </c>
      <c r="B50" s="10" t="s">
        <v>54</v>
      </c>
      <c r="C50" s="10" t="s">
        <v>67</v>
      </c>
      <c r="D50" s="10" t="s">
        <v>2</v>
      </c>
      <c r="E50" s="10">
        <v>5</v>
      </c>
      <c r="F50" s="11">
        <f>G50+H50</f>
        <v>45</v>
      </c>
      <c r="G50" s="11">
        <f>E50*9</f>
        <v>45</v>
      </c>
      <c r="H50" s="11">
        <v>0</v>
      </c>
      <c r="I50" s="19">
        <f>SUM(G50:H50)</f>
        <v>45</v>
      </c>
      <c r="J50" s="10"/>
      <c r="K50" s="21"/>
    </row>
    <row r="51" spans="1:11" ht="15">
      <c r="A51" s="10" t="s">
        <v>10</v>
      </c>
      <c r="B51" s="10" t="s">
        <v>54</v>
      </c>
      <c r="C51" s="10" t="s">
        <v>68</v>
      </c>
      <c r="D51" s="10" t="s">
        <v>2</v>
      </c>
      <c r="E51" s="10">
        <v>3</v>
      </c>
      <c r="F51" s="11">
        <f>G51+H51</f>
        <v>15</v>
      </c>
      <c r="G51" s="11">
        <f>E51*5</f>
        <v>15</v>
      </c>
      <c r="H51" s="11">
        <v>0</v>
      </c>
      <c r="I51" s="19">
        <f>SUM(G51:H51)</f>
        <v>15</v>
      </c>
      <c r="J51" s="10"/>
      <c r="K51" s="21"/>
    </row>
    <row r="52" spans="1:11" ht="15">
      <c r="A52" s="13" t="s">
        <v>10</v>
      </c>
      <c r="B52" s="13" t="s">
        <v>54</v>
      </c>
      <c r="C52" s="13" t="s">
        <v>16</v>
      </c>
      <c r="D52" s="13" t="s">
        <v>17</v>
      </c>
      <c r="E52" s="13">
        <f>SUM(E38:E51)</f>
        <v>53</v>
      </c>
      <c r="F52" s="14">
        <f>SUM(F38:F51)</f>
        <v>406</v>
      </c>
      <c r="G52" s="14">
        <f>SUM(G38:G51)</f>
        <v>406</v>
      </c>
      <c r="H52" s="14">
        <v>0</v>
      </c>
      <c r="I52" s="14">
        <f>SUM(I38:I51)</f>
        <v>388</v>
      </c>
      <c r="J52" s="10"/>
      <c r="K52" s="21"/>
    </row>
    <row r="53" spans="1:11" ht="15">
      <c r="A53" s="10" t="s">
        <v>10</v>
      </c>
      <c r="B53" s="10" t="s">
        <v>69</v>
      </c>
      <c r="C53" s="10" t="s">
        <v>70</v>
      </c>
      <c r="D53" s="10" t="s">
        <v>2</v>
      </c>
      <c r="E53" s="10">
        <v>1</v>
      </c>
      <c r="F53" s="11">
        <f t="shared" ref="F53:F57" si="10">G53+H53</f>
        <v>19</v>
      </c>
      <c r="G53" s="11">
        <f>E53*19</f>
        <v>19</v>
      </c>
      <c r="H53" s="11">
        <v>0</v>
      </c>
      <c r="I53" s="19">
        <f t="shared" ref="I53:I54" si="11">SUM(G53:H53)</f>
        <v>19</v>
      </c>
      <c r="J53" s="10"/>
      <c r="K53" s="21"/>
    </row>
    <row r="54" spans="1:11" ht="15">
      <c r="A54" s="10" t="s">
        <v>10</v>
      </c>
      <c r="B54" s="10" t="s">
        <v>69</v>
      </c>
      <c r="C54" s="10" t="s">
        <v>71</v>
      </c>
      <c r="D54" s="10" t="s">
        <v>2</v>
      </c>
      <c r="E54" s="10">
        <v>2</v>
      </c>
      <c r="F54" s="11">
        <f t="shared" si="10"/>
        <v>36</v>
      </c>
      <c r="G54" s="11">
        <f>E54*18</f>
        <v>36</v>
      </c>
      <c r="H54" s="11">
        <v>0</v>
      </c>
      <c r="I54" s="19">
        <f t="shared" si="11"/>
        <v>36</v>
      </c>
      <c r="J54" s="10"/>
      <c r="K54" s="21"/>
    </row>
    <row r="55" spans="1:11" ht="15">
      <c r="A55" s="10" t="s">
        <v>10</v>
      </c>
      <c r="B55" s="10" t="s">
        <v>69</v>
      </c>
      <c r="C55" s="10" t="s">
        <v>72</v>
      </c>
      <c r="D55" s="10" t="s">
        <v>2</v>
      </c>
      <c r="E55" s="10">
        <v>3</v>
      </c>
      <c r="F55" s="11">
        <f t="shared" si="10"/>
        <v>48</v>
      </c>
      <c r="G55" s="11">
        <f>E55*16</f>
        <v>48</v>
      </c>
      <c r="H55" s="11">
        <v>0</v>
      </c>
      <c r="I55" s="19">
        <f>SUM(G55:H55)</f>
        <v>48</v>
      </c>
      <c r="J55" s="10"/>
      <c r="K55" s="21"/>
    </row>
    <row r="56" spans="1:11" ht="15">
      <c r="A56" s="10" t="s">
        <v>10</v>
      </c>
      <c r="B56" s="10" t="s">
        <v>69</v>
      </c>
      <c r="C56" s="10" t="s">
        <v>73</v>
      </c>
      <c r="D56" s="10" t="s">
        <v>2</v>
      </c>
      <c r="E56" s="10">
        <v>0</v>
      </c>
      <c r="F56" s="11">
        <f t="shared" si="10"/>
        <v>0</v>
      </c>
      <c r="G56" s="11">
        <f>E56*12</f>
        <v>0</v>
      </c>
      <c r="H56" s="11">
        <v>0</v>
      </c>
      <c r="I56" s="19">
        <f>SUM(G56:H56)</f>
        <v>0</v>
      </c>
      <c r="J56" s="10"/>
      <c r="K56" s="21"/>
    </row>
    <row r="57" spans="1:11" ht="15">
      <c r="A57" s="10" t="s">
        <v>10</v>
      </c>
      <c r="B57" s="10" t="s">
        <v>69</v>
      </c>
      <c r="C57" s="10" t="s">
        <v>74</v>
      </c>
      <c r="D57" s="10" t="s">
        <v>2</v>
      </c>
      <c r="E57" s="10">
        <v>2</v>
      </c>
      <c r="F57" s="11">
        <f t="shared" si="10"/>
        <v>38</v>
      </c>
      <c r="G57" s="11">
        <f>E57*19</f>
        <v>38</v>
      </c>
      <c r="H57" s="11">
        <v>0</v>
      </c>
      <c r="I57" s="19">
        <f>SUM(G57:H57)</f>
        <v>38</v>
      </c>
      <c r="J57" s="10"/>
      <c r="K57" s="21"/>
    </row>
    <row r="58" spans="1:11" ht="15">
      <c r="A58" s="13" t="s">
        <v>10</v>
      </c>
      <c r="B58" s="13" t="s">
        <v>69</v>
      </c>
      <c r="C58" s="13" t="s">
        <v>16</v>
      </c>
      <c r="D58" s="13" t="s">
        <v>17</v>
      </c>
      <c r="E58" s="13">
        <f>SUM(E53:E57)</f>
        <v>8</v>
      </c>
      <c r="F58" s="14">
        <f>SUM(F53:F57)</f>
        <v>141</v>
      </c>
      <c r="G58" s="14">
        <f>SUM(G53:G57)</f>
        <v>141</v>
      </c>
      <c r="H58" s="14">
        <v>0</v>
      </c>
      <c r="I58" s="14">
        <f>SUM(I53:I57)</f>
        <v>141</v>
      </c>
      <c r="J58" s="10"/>
      <c r="K58" s="21"/>
    </row>
    <row r="59" spans="1:11" ht="15">
      <c r="A59" s="10" t="s">
        <v>10</v>
      </c>
      <c r="B59" s="10" t="s">
        <v>75</v>
      </c>
      <c r="C59" s="10" t="s">
        <v>76</v>
      </c>
      <c r="D59" s="10" t="s">
        <v>2</v>
      </c>
      <c r="E59" s="10">
        <v>18</v>
      </c>
      <c r="F59" s="11">
        <f t="shared" ref="F59:F61" si="12">G59+H59</f>
        <v>324</v>
      </c>
      <c r="G59" s="11">
        <f>E59*18</f>
        <v>324</v>
      </c>
      <c r="H59" s="11">
        <v>0</v>
      </c>
      <c r="I59" s="19">
        <f t="shared" ref="I59:I61" si="13">SUM(G59:H59)</f>
        <v>324</v>
      </c>
      <c r="J59" s="10"/>
      <c r="K59" s="21"/>
    </row>
    <row r="60" spans="1:11" ht="15">
      <c r="A60" s="10" t="s">
        <v>10</v>
      </c>
      <c r="B60" s="10" t="s">
        <v>75</v>
      </c>
      <c r="C60" s="10" t="s">
        <v>77</v>
      </c>
      <c r="D60" s="10" t="s">
        <v>2</v>
      </c>
      <c r="E60" s="10">
        <v>2</v>
      </c>
      <c r="F60" s="11">
        <f t="shared" si="12"/>
        <v>36</v>
      </c>
      <c r="G60" s="11">
        <f>E60*18</f>
        <v>36</v>
      </c>
      <c r="H60" s="11">
        <v>0</v>
      </c>
      <c r="I60" s="19">
        <f t="shared" si="13"/>
        <v>36</v>
      </c>
      <c r="J60" s="10"/>
      <c r="K60" s="21"/>
    </row>
    <row r="61" spans="1:11" ht="15">
      <c r="A61" s="10" t="s">
        <v>10</v>
      </c>
      <c r="B61" s="10" t="s">
        <v>75</v>
      </c>
      <c r="C61" s="10" t="s">
        <v>78</v>
      </c>
      <c r="D61" s="10" t="s">
        <v>2</v>
      </c>
      <c r="E61" s="10">
        <v>2</v>
      </c>
      <c r="F61" s="11">
        <f t="shared" si="12"/>
        <v>36</v>
      </c>
      <c r="G61" s="11">
        <f>E61*18</f>
        <v>36</v>
      </c>
      <c r="H61" s="11">
        <v>0</v>
      </c>
      <c r="I61" s="19">
        <f t="shared" si="13"/>
        <v>36</v>
      </c>
      <c r="J61" s="10"/>
      <c r="K61" s="21"/>
    </row>
    <row r="62" spans="1:11" ht="15">
      <c r="A62" s="13" t="s">
        <v>10</v>
      </c>
      <c r="B62" s="13" t="s">
        <v>75</v>
      </c>
      <c r="C62" s="13" t="s">
        <v>16</v>
      </c>
      <c r="D62" s="13" t="s">
        <v>17</v>
      </c>
      <c r="E62" s="13">
        <f>SUM(E59:E61)</f>
        <v>22</v>
      </c>
      <c r="F62" s="14">
        <f>SUM(F59:F61)</f>
        <v>396</v>
      </c>
      <c r="G62" s="14">
        <f>SUM(G59:G61)</f>
        <v>396</v>
      </c>
      <c r="H62" s="14">
        <v>0</v>
      </c>
      <c r="I62" s="14">
        <f>SUM(I59:I61)</f>
        <v>396</v>
      </c>
      <c r="J62" s="10"/>
      <c r="K62" s="21"/>
    </row>
    <row r="63" spans="1:11" ht="15">
      <c r="A63" s="10" t="s">
        <v>10</v>
      </c>
      <c r="B63" s="10" t="s">
        <v>79</v>
      </c>
      <c r="C63" s="10" t="s">
        <v>80</v>
      </c>
      <c r="D63" s="10" t="s">
        <v>2</v>
      </c>
      <c r="E63" s="10">
        <v>3</v>
      </c>
      <c r="F63" s="11">
        <f t="shared" ref="F63:F64" si="14">G63+H63</f>
        <v>54</v>
      </c>
      <c r="G63" s="11">
        <f>E63*18</f>
        <v>54</v>
      </c>
      <c r="H63" s="11">
        <v>0</v>
      </c>
      <c r="I63" s="19">
        <f t="shared" ref="I63:I64" si="15">SUM(G63:H63)</f>
        <v>54</v>
      </c>
      <c r="J63" s="10"/>
      <c r="K63" s="21"/>
    </row>
    <row r="64" spans="1:11" ht="15">
      <c r="A64" s="10" t="s">
        <v>10</v>
      </c>
      <c r="B64" s="10" t="s">
        <v>79</v>
      </c>
      <c r="C64" s="10" t="s">
        <v>81</v>
      </c>
      <c r="D64" s="10" t="s">
        <v>2</v>
      </c>
      <c r="E64" s="10">
        <v>3</v>
      </c>
      <c r="F64" s="11">
        <f t="shared" si="14"/>
        <v>54</v>
      </c>
      <c r="G64" s="11">
        <f>E64*18</f>
        <v>54</v>
      </c>
      <c r="H64" s="11">
        <v>0</v>
      </c>
      <c r="I64" s="19">
        <f t="shared" si="15"/>
        <v>54</v>
      </c>
      <c r="J64" s="10"/>
      <c r="K64" s="21"/>
    </row>
    <row r="65" spans="1:11" ht="15">
      <c r="A65" s="13" t="s">
        <v>10</v>
      </c>
      <c r="B65" s="13" t="s">
        <v>79</v>
      </c>
      <c r="C65" s="13" t="s">
        <v>16</v>
      </c>
      <c r="D65" s="13" t="s">
        <v>17</v>
      </c>
      <c r="E65" s="13">
        <f>SUM(E63:E64)</f>
        <v>6</v>
      </c>
      <c r="F65" s="14">
        <f>SUM(F63:F64)</f>
        <v>108</v>
      </c>
      <c r="G65" s="14">
        <f>SUM(G63:G64)</f>
        <v>108</v>
      </c>
      <c r="H65" s="14">
        <v>0</v>
      </c>
      <c r="I65" s="14">
        <f>SUM(I63:I64)</f>
        <v>108</v>
      </c>
      <c r="J65" s="10"/>
      <c r="K65" s="21"/>
    </row>
    <row r="66" spans="1:11" ht="15">
      <c r="A66" s="10" t="s">
        <v>10</v>
      </c>
      <c r="B66" s="10" t="s">
        <v>82</v>
      </c>
      <c r="C66" s="10" t="s">
        <v>83</v>
      </c>
      <c r="D66" s="10" t="s">
        <v>2</v>
      </c>
      <c r="E66" s="10">
        <v>4</v>
      </c>
      <c r="F66" s="11">
        <f>G66+H66</f>
        <v>20</v>
      </c>
      <c r="G66" s="11">
        <f>E66*5</f>
        <v>20</v>
      </c>
      <c r="H66" s="11">
        <v>0</v>
      </c>
      <c r="I66" s="19">
        <f t="shared" ref="I66:I69" si="16">SUM(G66:H66)</f>
        <v>20</v>
      </c>
      <c r="J66" s="10"/>
      <c r="K66" s="21"/>
    </row>
    <row r="67" spans="1:11" ht="15">
      <c r="A67" s="10" t="s">
        <v>10</v>
      </c>
      <c r="B67" s="10" t="s">
        <v>82</v>
      </c>
      <c r="C67" s="10" t="s">
        <v>84</v>
      </c>
      <c r="D67" s="10" t="s">
        <v>2</v>
      </c>
      <c r="E67" s="10">
        <v>1</v>
      </c>
      <c r="F67" s="11">
        <f t="shared" ref="F67:F70" si="17">G67+H67</f>
        <v>4</v>
      </c>
      <c r="G67" s="11">
        <f>E67*4</f>
        <v>4</v>
      </c>
      <c r="H67" s="11">
        <v>0</v>
      </c>
      <c r="I67" s="19">
        <f t="shared" si="16"/>
        <v>4</v>
      </c>
      <c r="J67" s="10"/>
      <c r="K67" s="21"/>
    </row>
    <row r="68" spans="1:11" ht="15">
      <c r="A68" s="10" t="s">
        <v>10</v>
      </c>
      <c r="B68" s="10" t="s">
        <v>82</v>
      </c>
      <c r="C68" s="10" t="s">
        <v>85</v>
      </c>
      <c r="D68" s="10" t="s">
        <v>2</v>
      </c>
      <c r="E68" s="10">
        <v>2</v>
      </c>
      <c r="F68" s="11">
        <f t="shared" si="17"/>
        <v>10</v>
      </c>
      <c r="G68" s="11">
        <f>E68*5</f>
        <v>10</v>
      </c>
      <c r="H68" s="11">
        <v>0</v>
      </c>
      <c r="I68" s="19">
        <f t="shared" si="16"/>
        <v>10</v>
      </c>
      <c r="J68" s="10"/>
      <c r="K68" s="21"/>
    </row>
    <row r="69" spans="1:11" ht="15">
      <c r="A69" s="10" t="s">
        <v>10</v>
      </c>
      <c r="B69" s="10" t="s">
        <v>82</v>
      </c>
      <c r="C69" s="10" t="s">
        <v>86</v>
      </c>
      <c r="D69" s="10" t="s">
        <v>2</v>
      </c>
      <c r="E69" s="10">
        <v>2</v>
      </c>
      <c r="F69" s="11">
        <f t="shared" si="17"/>
        <v>10</v>
      </c>
      <c r="G69" s="11">
        <f t="shared" ref="G69:G70" si="18">E69*5</f>
        <v>10</v>
      </c>
      <c r="H69" s="11">
        <v>0</v>
      </c>
      <c r="I69" s="19">
        <f t="shared" si="16"/>
        <v>10</v>
      </c>
      <c r="J69" s="10"/>
      <c r="K69" s="21"/>
    </row>
    <row r="70" spans="1:11" ht="15">
      <c r="A70" s="13" t="s">
        <v>10</v>
      </c>
      <c r="B70" s="13" t="s">
        <v>82</v>
      </c>
      <c r="C70" s="13" t="s">
        <v>16</v>
      </c>
      <c r="D70" s="13" t="s">
        <v>17</v>
      </c>
      <c r="E70" s="13">
        <f>SUM(E66:E69)</f>
        <v>9</v>
      </c>
      <c r="F70" s="14">
        <f>SUM(F66:F69)</f>
        <v>44</v>
      </c>
      <c r="G70" s="14">
        <f>SUM(G66:G69)</f>
        <v>44</v>
      </c>
      <c r="H70" s="14">
        <v>0</v>
      </c>
      <c r="I70" s="14">
        <f>SUM(I66:I69)</f>
        <v>44</v>
      </c>
      <c r="J70" s="10"/>
      <c r="K70" s="21"/>
    </row>
    <row r="71" spans="1:11" ht="15">
      <c r="A71" s="10" t="s">
        <v>10</v>
      </c>
      <c r="B71" s="10" t="s">
        <v>87</v>
      </c>
      <c r="C71" s="10" t="s">
        <v>88</v>
      </c>
      <c r="D71" s="10" t="s">
        <v>2</v>
      </c>
      <c r="E71" s="10">
        <v>8</v>
      </c>
      <c r="F71" s="11">
        <f t="shared" ref="F71:F72" si="19">G71+H71</f>
        <v>159.91999999999999</v>
      </c>
      <c r="G71" s="11">
        <f>E71*19.99</f>
        <v>159.91999999999999</v>
      </c>
      <c r="H71" s="11">
        <v>0</v>
      </c>
      <c r="I71" s="19">
        <f t="shared" ref="I71:I72" si="20">SUM(G71:H71)</f>
        <v>159.91999999999999</v>
      </c>
      <c r="J71" s="10"/>
      <c r="K71" s="21"/>
    </row>
    <row r="72" spans="1:11" ht="15">
      <c r="A72" s="10" t="s">
        <v>10</v>
      </c>
      <c r="B72" s="10" t="s">
        <v>87</v>
      </c>
      <c r="C72" s="10" t="s">
        <v>89</v>
      </c>
      <c r="D72" s="10" t="s">
        <v>2</v>
      </c>
      <c r="E72" s="10">
        <v>3</v>
      </c>
      <c r="F72" s="11">
        <f t="shared" si="19"/>
        <v>59.97</v>
      </c>
      <c r="G72" s="11">
        <f>E72*19.99</f>
        <v>59.97</v>
      </c>
      <c r="H72" s="11">
        <v>0</v>
      </c>
      <c r="I72" s="19">
        <f t="shared" si="20"/>
        <v>59.97</v>
      </c>
      <c r="J72" s="10"/>
      <c r="K72" s="21"/>
    </row>
    <row r="73" spans="1:11" ht="15">
      <c r="A73" s="13" t="s">
        <v>10</v>
      </c>
      <c r="B73" s="13" t="s">
        <v>87</v>
      </c>
      <c r="C73" s="13" t="s">
        <v>16</v>
      </c>
      <c r="D73" s="13" t="s">
        <v>17</v>
      </c>
      <c r="E73" s="13">
        <f>SUM(E71:E72)</f>
        <v>11</v>
      </c>
      <c r="F73" s="14">
        <f>SUM(F71:F72)</f>
        <v>219.89</v>
      </c>
      <c r="G73" s="14">
        <f>SUM(G71:G72)</f>
        <v>219.89</v>
      </c>
      <c r="H73" s="14">
        <v>0</v>
      </c>
      <c r="I73" s="14">
        <f>SUM(I71:I72)</f>
        <v>219.89</v>
      </c>
      <c r="J73" s="10"/>
      <c r="K73" s="21"/>
    </row>
    <row r="74" spans="1:11" ht="15">
      <c r="A74" s="10" t="s">
        <v>10</v>
      </c>
      <c r="B74" s="10" t="s">
        <v>90</v>
      </c>
      <c r="C74" s="10" t="s">
        <v>91</v>
      </c>
      <c r="D74" s="10" t="s">
        <v>2</v>
      </c>
      <c r="E74" s="10">
        <v>9</v>
      </c>
      <c r="F74" s="11">
        <f t="shared" ref="F74:F76" si="21">G74+H74</f>
        <v>117</v>
      </c>
      <c r="G74" s="11">
        <f>E74*13</f>
        <v>117</v>
      </c>
      <c r="H74" s="11">
        <v>0</v>
      </c>
      <c r="I74" s="19">
        <f t="shared" ref="I74:I76" si="22">SUM(G74:H74)</f>
        <v>117</v>
      </c>
      <c r="J74" s="10"/>
      <c r="K74" s="21"/>
    </row>
    <row r="75" spans="1:11" ht="15">
      <c r="A75" s="10" t="s">
        <v>10</v>
      </c>
      <c r="B75" s="10" t="s">
        <v>90</v>
      </c>
      <c r="C75" s="10" t="s">
        <v>92</v>
      </c>
      <c r="D75" s="10" t="s">
        <v>2</v>
      </c>
      <c r="E75" s="10">
        <v>0</v>
      </c>
      <c r="F75" s="11">
        <f t="shared" si="21"/>
        <v>0</v>
      </c>
      <c r="G75" s="11">
        <f>E75*9</f>
        <v>0</v>
      </c>
      <c r="H75" s="11">
        <v>0</v>
      </c>
      <c r="I75" s="19">
        <f t="shared" si="22"/>
        <v>0</v>
      </c>
      <c r="J75" s="10"/>
      <c r="K75" s="21"/>
    </row>
    <row r="76" spans="1:11" ht="15">
      <c r="A76" s="10" t="s">
        <v>10</v>
      </c>
      <c r="B76" s="10" t="s">
        <v>90</v>
      </c>
      <c r="C76" s="10" t="s">
        <v>93</v>
      </c>
      <c r="D76" s="10" t="s">
        <v>2</v>
      </c>
      <c r="E76" s="10">
        <v>3</v>
      </c>
      <c r="F76" s="11">
        <f t="shared" si="21"/>
        <v>12</v>
      </c>
      <c r="G76" s="11">
        <f>E76*4</f>
        <v>12</v>
      </c>
      <c r="H76" s="11">
        <v>0</v>
      </c>
      <c r="I76" s="19">
        <f t="shared" si="22"/>
        <v>12</v>
      </c>
      <c r="J76" s="10" t="s">
        <v>94</v>
      </c>
      <c r="K76" s="21"/>
    </row>
    <row r="77" spans="1:11" ht="15">
      <c r="A77" s="13" t="s">
        <v>10</v>
      </c>
      <c r="B77" s="13" t="s">
        <v>90</v>
      </c>
      <c r="C77" s="13" t="s">
        <v>16</v>
      </c>
      <c r="D77" s="13" t="s">
        <v>17</v>
      </c>
      <c r="E77" s="13">
        <f>SUM(E74:E76)</f>
        <v>12</v>
      </c>
      <c r="F77" s="14">
        <f>SUM(F74:F76)</f>
        <v>129</v>
      </c>
      <c r="G77" s="14">
        <f>SUM(G74:G76)</f>
        <v>129</v>
      </c>
      <c r="H77" s="14">
        <v>0</v>
      </c>
      <c r="I77" s="14">
        <f>SUM(I74:I76)</f>
        <v>129</v>
      </c>
      <c r="J77" s="10"/>
      <c r="K77" s="21"/>
    </row>
    <row r="78" spans="1:11" ht="15">
      <c r="A78" s="10" t="s">
        <v>10</v>
      </c>
      <c r="B78" s="10" t="s">
        <v>95</v>
      </c>
      <c r="C78" s="10" t="s">
        <v>96</v>
      </c>
      <c r="D78" s="10" t="s">
        <v>2</v>
      </c>
      <c r="E78" s="10">
        <v>0</v>
      </c>
      <c r="F78" s="11">
        <f t="shared" ref="F78:F86" si="23">G78+H78</f>
        <v>0</v>
      </c>
      <c r="G78" s="11">
        <f>E78*2</f>
        <v>0</v>
      </c>
      <c r="H78" s="11">
        <v>0</v>
      </c>
      <c r="I78" s="19">
        <f t="shared" ref="I78:I86" si="24">SUM(G78:H78)</f>
        <v>0</v>
      </c>
      <c r="J78" s="10"/>
      <c r="K78" s="21"/>
    </row>
    <row r="79" spans="1:11" ht="15">
      <c r="A79" s="10" t="s">
        <v>10</v>
      </c>
      <c r="B79" s="10" t="s">
        <v>95</v>
      </c>
      <c r="C79" s="10" t="s">
        <v>97</v>
      </c>
      <c r="D79" s="10" t="s">
        <v>2</v>
      </c>
      <c r="E79" s="10">
        <v>0</v>
      </c>
      <c r="F79" s="11">
        <f t="shared" si="23"/>
        <v>0</v>
      </c>
      <c r="G79" s="11">
        <f>E79*2</f>
        <v>0</v>
      </c>
      <c r="H79" s="11">
        <v>0</v>
      </c>
      <c r="I79" s="19">
        <f t="shared" si="24"/>
        <v>0</v>
      </c>
      <c r="J79" s="10"/>
      <c r="K79" s="21"/>
    </row>
    <row r="80" spans="1:11" ht="15">
      <c r="A80" s="10" t="s">
        <v>10</v>
      </c>
      <c r="B80" s="10" t="s">
        <v>95</v>
      </c>
      <c r="C80" s="10" t="s">
        <v>98</v>
      </c>
      <c r="D80" s="10" t="s">
        <v>2</v>
      </c>
      <c r="E80" s="10">
        <v>1</v>
      </c>
      <c r="F80" s="11">
        <f>G80+H80</f>
        <v>1</v>
      </c>
      <c r="G80" s="11">
        <f>E80*1</f>
        <v>1</v>
      </c>
      <c r="H80" s="11">
        <v>0</v>
      </c>
      <c r="I80" s="19">
        <f t="shared" si="24"/>
        <v>1</v>
      </c>
      <c r="J80" s="10"/>
      <c r="K80" s="21"/>
    </row>
    <row r="81" spans="1:11" ht="15">
      <c r="A81" s="10" t="s">
        <v>10</v>
      </c>
      <c r="B81" s="10" t="s">
        <v>95</v>
      </c>
      <c r="C81" s="10" t="s">
        <v>99</v>
      </c>
      <c r="D81" s="10" t="s">
        <v>2</v>
      </c>
      <c r="E81" s="10">
        <v>1</v>
      </c>
      <c r="F81" s="11">
        <f t="shared" si="23"/>
        <v>1</v>
      </c>
      <c r="G81" s="11">
        <f>E81*1</f>
        <v>1</v>
      </c>
      <c r="H81" s="11">
        <v>0</v>
      </c>
      <c r="I81" s="19">
        <f t="shared" si="24"/>
        <v>1</v>
      </c>
      <c r="J81" s="10"/>
      <c r="K81" s="21"/>
    </row>
    <row r="82" spans="1:11" ht="15">
      <c r="A82" s="10" t="s">
        <v>10</v>
      </c>
      <c r="B82" s="10" t="s">
        <v>95</v>
      </c>
      <c r="C82" s="10" t="s">
        <v>100</v>
      </c>
      <c r="D82" s="10" t="s">
        <v>2</v>
      </c>
      <c r="E82" s="10">
        <v>1</v>
      </c>
      <c r="F82" s="11">
        <f t="shared" si="23"/>
        <v>1</v>
      </c>
      <c r="G82" s="11">
        <f>E82*1</f>
        <v>1</v>
      </c>
      <c r="H82" s="11">
        <v>0</v>
      </c>
      <c r="I82" s="19">
        <f t="shared" si="24"/>
        <v>1</v>
      </c>
      <c r="J82" s="10"/>
      <c r="K82" s="21"/>
    </row>
    <row r="83" spans="1:11" ht="15">
      <c r="A83" s="10" t="s">
        <v>10</v>
      </c>
      <c r="B83" s="10" t="s">
        <v>95</v>
      </c>
      <c r="C83" s="10" t="s">
        <v>101</v>
      </c>
      <c r="D83" s="10" t="s">
        <v>2</v>
      </c>
      <c r="E83" s="10">
        <v>0</v>
      </c>
      <c r="F83" s="11">
        <f t="shared" si="23"/>
        <v>0</v>
      </c>
      <c r="G83" s="11">
        <f>E83*1</f>
        <v>0</v>
      </c>
      <c r="H83" s="11">
        <v>0</v>
      </c>
      <c r="I83" s="19">
        <f t="shared" si="24"/>
        <v>0</v>
      </c>
      <c r="J83" s="10"/>
      <c r="K83" s="21"/>
    </row>
    <row r="84" spans="1:11" ht="15">
      <c r="A84" s="10" t="s">
        <v>10</v>
      </c>
      <c r="B84" s="10" t="s">
        <v>95</v>
      </c>
      <c r="C84" s="10" t="s">
        <v>102</v>
      </c>
      <c r="D84" s="10" t="s">
        <v>2</v>
      </c>
      <c r="E84" s="10">
        <v>0</v>
      </c>
      <c r="F84" s="11">
        <f t="shared" si="23"/>
        <v>0</v>
      </c>
      <c r="G84" s="11">
        <f>E84*1</f>
        <v>0</v>
      </c>
      <c r="H84" s="11">
        <v>0</v>
      </c>
      <c r="I84" s="19">
        <f t="shared" si="24"/>
        <v>0</v>
      </c>
      <c r="J84" s="10"/>
      <c r="K84" s="21"/>
    </row>
    <row r="85" spans="1:11" ht="15">
      <c r="A85" s="10" t="s">
        <v>10</v>
      </c>
      <c r="B85" s="10" t="s">
        <v>95</v>
      </c>
      <c r="C85" s="10" t="s">
        <v>103</v>
      </c>
      <c r="D85" s="10" t="s">
        <v>2</v>
      </c>
      <c r="E85" s="10">
        <v>0</v>
      </c>
      <c r="F85" s="11">
        <f t="shared" si="23"/>
        <v>0</v>
      </c>
      <c r="G85" s="11">
        <f>E85*1</f>
        <v>0</v>
      </c>
      <c r="H85" s="11">
        <v>0</v>
      </c>
      <c r="I85" s="19">
        <f t="shared" si="24"/>
        <v>0</v>
      </c>
      <c r="J85" s="10"/>
      <c r="K85" s="21"/>
    </row>
    <row r="86" spans="1:11" ht="15">
      <c r="A86" s="10" t="s">
        <v>10</v>
      </c>
      <c r="B86" s="10" t="s">
        <v>95</v>
      </c>
      <c r="C86" s="10" t="s">
        <v>104</v>
      </c>
      <c r="D86" s="10" t="s">
        <v>2</v>
      </c>
      <c r="E86" s="10">
        <v>1</v>
      </c>
      <c r="F86" s="11">
        <f>G86+H86</f>
        <v>1</v>
      </c>
      <c r="G86" s="11">
        <f>E86*1</f>
        <v>1</v>
      </c>
      <c r="H86" s="11">
        <v>0</v>
      </c>
      <c r="I86" s="19">
        <f t="shared" si="24"/>
        <v>1</v>
      </c>
      <c r="J86" s="10"/>
      <c r="K86" s="21"/>
    </row>
    <row r="87" spans="1:11" ht="15">
      <c r="A87" s="13" t="s">
        <v>10</v>
      </c>
      <c r="B87" s="13" t="s">
        <v>95</v>
      </c>
      <c r="C87" s="13" t="s">
        <v>16</v>
      </c>
      <c r="D87" s="13" t="s">
        <v>17</v>
      </c>
      <c r="E87" s="13">
        <f>SUM(E78:E86)</f>
        <v>4</v>
      </c>
      <c r="F87" s="14">
        <f>SUM(F78:F86)</f>
        <v>4</v>
      </c>
      <c r="G87" s="14">
        <f>SUM(G78:G86)</f>
        <v>4</v>
      </c>
      <c r="H87" s="14">
        <v>0</v>
      </c>
      <c r="I87" s="14">
        <f>SUM(I78:I86)</f>
        <v>4</v>
      </c>
      <c r="J87" s="10"/>
      <c r="K87" s="21"/>
    </row>
    <row r="88" spans="1:11" ht="15">
      <c r="A88" s="18" t="s">
        <v>10</v>
      </c>
      <c r="B88" s="4" t="s">
        <v>105</v>
      </c>
      <c r="C88" s="4" t="s">
        <v>106</v>
      </c>
      <c r="D88" s="4" t="s">
        <v>17</v>
      </c>
      <c r="E88" s="5">
        <f>SUM(E5+E14+E23+E37+E52+E58+E62+E65+E70+E73+E77+E87)</f>
        <v>417</v>
      </c>
      <c r="F88" s="5">
        <f>SUM(F5+F14+F23+F37+F52+F58+F62+F65+F70+F73+F77+F87)</f>
        <v>11871.75</v>
      </c>
      <c r="G88" s="5">
        <f>SUM(G5+G14+G23+G37+G52+G58+G62+G65+G70+G73+G77+G87)</f>
        <v>11798.25</v>
      </c>
      <c r="H88" s="5">
        <f>SUM(H5+H14+H23+H37+H52+H58+H62+H65+H70+H73+H77+H87)</f>
        <v>73.5</v>
      </c>
      <c r="I88" s="5">
        <f>SUM(I5+I14+I23+I37+I52+I58+I62+I65+I70+I73+I77+I87)</f>
        <v>11853.75</v>
      </c>
      <c r="J88" s="10"/>
      <c r="K88" s="21"/>
    </row>
    <row r="89" spans="1:11" ht="15">
      <c r="I89" s="10"/>
      <c r="K89" s="6"/>
    </row>
    <row r="90" spans="1:11">
      <c r="K90" s="6"/>
    </row>
    <row r="91" spans="1:11">
      <c r="K91" s="6"/>
    </row>
    <row r="92" spans="1:11">
      <c r="K92" s="6"/>
    </row>
    <row r="93" spans="1:11">
      <c r="K93" s="6"/>
    </row>
    <row r="94" spans="1:11">
      <c r="K94" s="6"/>
    </row>
    <row r="95" spans="1:11">
      <c r="K95" s="6"/>
    </row>
    <row r="96" spans="1:11">
      <c r="K96" s="6"/>
    </row>
    <row r="97" spans="11:11">
      <c r="K97" s="6"/>
    </row>
    <row r="98" spans="11:11">
      <c r="K98" s="6"/>
    </row>
    <row r="99" spans="11:11">
      <c r="K99" s="6"/>
    </row>
    <row r="100" spans="11:11">
      <c r="K100" s="6"/>
    </row>
    <row r="101" spans="11:11">
      <c r="K101" s="6"/>
    </row>
    <row r="102" spans="11:11">
      <c r="K102" s="6"/>
    </row>
    <row r="103" spans="11:11">
      <c r="K103" s="6"/>
    </row>
    <row r="104" spans="11:11">
      <c r="K104" s="6"/>
    </row>
    <row r="105" spans="11:11">
      <c r="K105" s="6"/>
    </row>
    <row r="106" spans="11:11">
      <c r="K106" s="6"/>
    </row>
    <row r="107" spans="11:11">
      <c r="K107" s="6"/>
    </row>
    <row r="108" spans="11:11">
      <c r="K108" s="6"/>
    </row>
    <row r="109" spans="11:11">
      <c r="K109" s="6"/>
    </row>
    <row r="110" spans="11:11">
      <c r="K110" s="6"/>
    </row>
    <row r="111" spans="11:11">
      <c r="K111" s="6"/>
    </row>
    <row r="112" spans="11:11">
      <c r="K112" s="6"/>
    </row>
    <row r="113" spans="11:11">
      <c r="K113" s="6"/>
    </row>
    <row r="114" spans="11:11">
      <c r="K114" s="6"/>
    </row>
    <row r="115" spans="11:11">
      <c r="K115" s="6"/>
    </row>
    <row r="116" spans="11:11">
      <c r="K116" s="6"/>
    </row>
    <row r="117" spans="11:11">
      <c r="K117" s="6"/>
    </row>
    <row r="118" spans="11:11">
      <c r="K118" s="6"/>
    </row>
    <row r="119" spans="11:11">
      <c r="K119" s="6"/>
    </row>
    <row r="120" spans="11:11">
      <c r="K1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3594-5DC4-4E2F-B788-E0958BD55C93}">
  <dimension ref="A1:J90"/>
  <sheetViews>
    <sheetView topLeftCell="A74" workbookViewId="0">
      <selection activeCell="I28" sqref="I28"/>
    </sheetView>
  </sheetViews>
  <sheetFormatPr defaultRowHeight="14.25"/>
  <cols>
    <col min="1" max="1" width="7.625" customWidth="1"/>
    <col min="2" max="2" width="21.5" customWidth="1"/>
    <col min="3" max="3" width="27.25" customWidth="1"/>
    <col min="4" max="4" width="17.5" customWidth="1"/>
    <col min="5" max="5" width="13.125" customWidth="1"/>
    <col min="6" max="6" width="12" customWidth="1"/>
    <col min="7" max="7" width="13" customWidth="1"/>
    <col min="8" max="8" width="11.25" customWidth="1"/>
    <col min="9" max="9" width="14.25" customWidth="1"/>
    <col min="10" max="10" width="29.375" customWidth="1"/>
  </cols>
  <sheetData>
    <row r="1" spans="1:10" ht="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6" t="s">
        <v>9</v>
      </c>
    </row>
    <row r="2" spans="1:10" ht="15">
      <c r="A2" s="10" t="s">
        <v>107</v>
      </c>
      <c r="B2" s="10" t="s">
        <v>11</v>
      </c>
      <c r="C2" s="10" t="s">
        <v>12</v>
      </c>
      <c r="D2" s="10" t="s">
        <v>2</v>
      </c>
      <c r="E2" s="10">
        <v>314</v>
      </c>
      <c r="F2" s="11">
        <f>G2+H2</f>
        <v>34192</v>
      </c>
      <c r="G2" s="11">
        <f>E2*108</f>
        <v>33912</v>
      </c>
      <c r="H2" s="11">
        <f>60+50+170</f>
        <v>280</v>
      </c>
      <c r="I2" s="19">
        <f>SUM(G2:H2)</f>
        <v>34192</v>
      </c>
      <c r="J2" s="10"/>
    </row>
    <row r="3" spans="1:10" ht="15">
      <c r="A3" s="10" t="s">
        <v>107</v>
      </c>
      <c r="B3" s="10" t="s">
        <v>11</v>
      </c>
      <c r="C3" s="10" t="s">
        <v>14</v>
      </c>
      <c r="D3" s="10" t="s">
        <v>2</v>
      </c>
      <c r="E3" s="10">
        <v>96</v>
      </c>
      <c r="F3" s="11">
        <f t="shared" ref="F3:F4" si="0">G3+H3</f>
        <v>19097</v>
      </c>
      <c r="G3" s="11">
        <f>E3*198</f>
        <v>19008</v>
      </c>
      <c r="H3" s="11">
        <v>89</v>
      </c>
      <c r="I3" s="19">
        <f t="shared" ref="I3:I4" si="1">SUM(G3:H3)</f>
        <v>19097</v>
      </c>
      <c r="J3" s="10"/>
    </row>
    <row r="4" spans="1:10" ht="15">
      <c r="A4" s="10" t="s">
        <v>107</v>
      </c>
      <c r="B4" s="10" t="s">
        <v>11</v>
      </c>
      <c r="C4" s="10" t="s">
        <v>15</v>
      </c>
      <c r="D4" s="10" t="s">
        <v>2</v>
      </c>
      <c r="E4" s="10">
        <v>39</v>
      </c>
      <c r="F4" s="11">
        <f t="shared" si="0"/>
        <v>11622</v>
      </c>
      <c r="G4" s="11">
        <f>E4*298</f>
        <v>11622</v>
      </c>
      <c r="H4" s="11">
        <v>0</v>
      </c>
      <c r="I4" s="19">
        <f t="shared" si="1"/>
        <v>11622</v>
      </c>
      <c r="J4" s="10"/>
    </row>
    <row r="5" spans="1:10" ht="15">
      <c r="A5" s="13" t="s">
        <v>107</v>
      </c>
      <c r="B5" s="13" t="s">
        <v>11</v>
      </c>
      <c r="C5" s="13" t="s">
        <v>16</v>
      </c>
      <c r="D5" s="13" t="s">
        <v>17</v>
      </c>
      <c r="E5" s="13">
        <f>SUM(E2:E4)</f>
        <v>449</v>
      </c>
      <c r="F5" s="14">
        <f>SUM(F2:F4)</f>
        <v>64911</v>
      </c>
      <c r="G5" s="14">
        <f>SUM(G2:G4)</f>
        <v>64542</v>
      </c>
      <c r="H5" s="14">
        <f>SUM(H2:H4)</f>
        <v>369</v>
      </c>
      <c r="I5" s="14">
        <f>SUM(I2:I4)</f>
        <v>64911</v>
      </c>
      <c r="J5" s="10"/>
    </row>
    <row r="6" spans="1:10" ht="15">
      <c r="A6" s="10" t="s">
        <v>107</v>
      </c>
      <c r="B6" s="10" t="s">
        <v>18</v>
      </c>
      <c r="C6" s="10" t="s">
        <v>19</v>
      </c>
      <c r="D6" s="10" t="s">
        <v>2</v>
      </c>
      <c r="E6" s="10">
        <v>137</v>
      </c>
      <c r="F6" s="11">
        <f t="shared" ref="F6:F13" si="2">G6+H6</f>
        <v>4932</v>
      </c>
      <c r="G6" s="11">
        <f>E6*36</f>
        <v>4932</v>
      </c>
      <c r="H6" s="11">
        <v>0</v>
      </c>
      <c r="I6" s="19">
        <f t="shared" ref="I6:I13" si="3">SUM(G6:H6)</f>
        <v>4932</v>
      </c>
      <c r="J6" s="10"/>
    </row>
    <row r="7" spans="1:10" ht="15">
      <c r="A7" s="10" t="s">
        <v>107</v>
      </c>
      <c r="B7" s="10" t="s">
        <v>18</v>
      </c>
      <c r="C7" s="10" t="s">
        <v>20</v>
      </c>
      <c r="D7" s="10" t="s">
        <v>2</v>
      </c>
      <c r="E7" s="10">
        <v>54</v>
      </c>
      <c r="F7" s="11">
        <f t="shared" si="2"/>
        <v>2970</v>
      </c>
      <c r="G7" s="11">
        <f>E7*55</f>
        <v>2970</v>
      </c>
      <c r="H7" s="11">
        <v>0</v>
      </c>
      <c r="I7" s="19">
        <f t="shared" si="3"/>
        <v>2970</v>
      </c>
      <c r="J7" s="10"/>
    </row>
    <row r="8" spans="1:10" ht="15">
      <c r="A8" s="10" t="s">
        <v>107</v>
      </c>
      <c r="B8" s="10" t="s">
        <v>18</v>
      </c>
      <c r="C8" s="10" t="s">
        <v>21</v>
      </c>
      <c r="D8" s="10" t="s">
        <v>2</v>
      </c>
      <c r="E8" s="10">
        <v>128</v>
      </c>
      <c r="F8" s="11">
        <f t="shared" si="2"/>
        <v>6016</v>
      </c>
      <c r="G8" s="11">
        <f>E8*47</f>
        <v>6016</v>
      </c>
      <c r="H8" s="11">
        <v>0</v>
      </c>
      <c r="I8" s="19">
        <f t="shared" si="3"/>
        <v>6016</v>
      </c>
      <c r="J8" s="10"/>
    </row>
    <row r="9" spans="1:10" ht="15">
      <c r="A9" s="10" t="s">
        <v>107</v>
      </c>
      <c r="B9" s="10" t="s">
        <v>18</v>
      </c>
      <c r="C9" s="10" t="s">
        <v>22</v>
      </c>
      <c r="D9" s="10" t="s">
        <v>2</v>
      </c>
      <c r="E9" s="10">
        <v>39</v>
      </c>
      <c r="F9" s="11">
        <f t="shared" si="2"/>
        <v>1404</v>
      </c>
      <c r="G9" s="11">
        <f>E9*36</f>
        <v>1404</v>
      </c>
      <c r="H9" s="11">
        <v>0</v>
      </c>
      <c r="I9" s="19">
        <f t="shared" si="3"/>
        <v>1404</v>
      </c>
      <c r="J9" s="10"/>
    </row>
    <row r="10" spans="1:10" ht="15">
      <c r="A10" s="10" t="s">
        <v>107</v>
      </c>
      <c r="B10" s="10" t="s">
        <v>18</v>
      </c>
      <c r="C10" s="10" t="s">
        <v>23</v>
      </c>
      <c r="D10" s="10" t="s">
        <v>2</v>
      </c>
      <c r="E10" s="10">
        <v>15</v>
      </c>
      <c r="F10" s="11">
        <f>G10+H10</f>
        <v>375</v>
      </c>
      <c r="G10" s="11">
        <f>E10*25</f>
        <v>375</v>
      </c>
      <c r="H10" s="11">
        <v>0</v>
      </c>
      <c r="I10" s="19">
        <f t="shared" si="3"/>
        <v>375</v>
      </c>
      <c r="J10" s="10"/>
    </row>
    <row r="11" spans="1:10" ht="15">
      <c r="A11" s="10" t="s">
        <v>107</v>
      </c>
      <c r="B11" s="10" t="s">
        <v>18</v>
      </c>
      <c r="C11" s="10" t="s">
        <v>24</v>
      </c>
      <c r="D11" s="10" t="s">
        <v>2</v>
      </c>
      <c r="E11" s="10">
        <v>21</v>
      </c>
      <c r="F11" s="11">
        <f t="shared" si="2"/>
        <v>735</v>
      </c>
      <c r="G11" s="11">
        <f>E11*35</f>
        <v>735</v>
      </c>
      <c r="H11" s="11">
        <v>0</v>
      </c>
      <c r="I11" s="19">
        <f t="shared" si="3"/>
        <v>735</v>
      </c>
      <c r="J11" s="10"/>
    </row>
    <row r="12" spans="1:10" ht="15">
      <c r="A12" s="10" t="s">
        <v>107</v>
      </c>
      <c r="B12" s="10" t="s">
        <v>18</v>
      </c>
      <c r="C12" s="10" t="s">
        <v>25</v>
      </c>
      <c r="D12" s="10" t="s">
        <v>2</v>
      </c>
      <c r="E12" s="10">
        <v>20</v>
      </c>
      <c r="F12" s="11">
        <f t="shared" si="2"/>
        <v>400</v>
      </c>
      <c r="G12" s="11">
        <f>E12*20</f>
        <v>400</v>
      </c>
      <c r="H12" s="11">
        <v>0</v>
      </c>
      <c r="I12" s="19">
        <f t="shared" si="3"/>
        <v>400</v>
      </c>
      <c r="J12" s="10"/>
    </row>
    <row r="13" spans="1:10" ht="15">
      <c r="A13" s="10" t="s">
        <v>107</v>
      </c>
      <c r="B13" s="10" t="s">
        <v>18</v>
      </c>
      <c r="C13" s="10" t="s">
        <v>26</v>
      </c>
      <c r="D13" s="10" t="s">
        <v>2</v>
      </c>
      <c r="E13" s="10">
        <v>28</v>
      </c>
      <c r="F13" s="11">
        <f t="shared" si="2"/>
        <v>560</v>
      </c>
      <c r="G13" s="11">
        <f>E13*20</f>
        <v>560</v>
      </c>
      <c r="H13" s="11">
        <v>0</v>
      </c>
      <c r="I13" s="19">
        <f t="shared" si="3"/>
        <v>560</v>
      </c>
      <c r="J13" s="10"/>
    </row>
    <row r="14" spans="1:10" ht="15">
      <c r="A14" s="13" t="s">
        <v>107</v>
      </c>
      <c r="B14" s="13" t="s">
        <v>18</v>
      </c>
      <c r="C14" s="13" t="s">
        <v>16</v>
      </c>
      <c r="D14" s="13" t="s">
        <v>17</v>
      </c>
      <c r="E14" s="13">
        <f>SUM(E6:E13)</f>
        <v>442</v>
      </c>
      <c r="F14" s="14">
        <f>SUM(F6:F13)</f>
        <v>17392</v>
      </c>
      <c r="G14" s="14">
        <f>SUM(G6:G13)</f>
        <v>17392</v>
      </c>
      <c r="H14" s="14">
        <f>SUM(H6:H13)</f>
        <v>0</v>
      </c>
      <c r="I14" s="14">
        <f>SUM(I6:I13)</f>
        <v>17392</v>
      </c>
      <c r="J14" s="10"/>
    </row>
    <row r="15" spans="1:10" ht="15">
      <c r="A15" s="10" t="s">
        <v>107</v>
      </c>
      <c r="B15" s="10" t="s">
        <v>27</v>
      </c>
      <c r="C15" s="10" t="s">
        <v>28</v>
      </c>
      <c r="D15" s="10" t="s">
        <v>2</v>
      </c>
      <c r="E15" s="10">
        <v>250</v>
      </c>
      <c r="F15" s="11">
        <f>G15+H15</f>
        <v>5022.5</v>
      </c>
      <c r="G15" s="11">
        <f>E15*20</f>
        <v>5000</v>
      </c>
      <c r="H15" s="11">
        <v>22.5</v>
      </c>
      <c r="I15" s="19">
        <f t="shared" ref="I15:I22" si="4">SUM(G15:H15)</f>
        <v>5022.5</v>
      </c>
      <c r="J15" s="10"/>
    </row>
    <row r="16" spans="1:10" ht="15">
      <c r="A16" s="10" t="s">
        <v>107</v>
      </c>
      <c r="B16" s="10" t="s">
        <v>27</v>
      </c>
      <c r="C16" s="10" t="s">
        <v>29</v>
      </c>
      <c r="D16" s="10" t="s">
        <v>2</v>
      </c>
      <c r="E16" s="10">
        <v>197</v>
      </c>
      <c r="F16" s="11">
        <f>G16+H16</f>
        <v>4923.03</v>
      </c>
      <c r="G16" s="11">
        <f>E16*24.99</f>
        <v>4923.03</v>
      </c>
      <c r="H16" s="11">
        <v>0</v>
      </c>
      <c r="I16" s="19">
        <f t="shared" si="4"/>
        <v>4923.03</v>
      </c>
      <c r="J16" s="10"/>
    </row>
    <row r="17" spans="1:10" ht="15">
      <c r="A17" s="10" t="s">
        <v>107</v>
      </c>
      <c r="B17" s="10" t="s">
        <v>27</v>
      </c>
      <c r="C17" s="10" t="s">
        <v>30</v>
      </c>
      <c r="D17" s="10" t="s">
        <v>2</v>
      </c>
      <c r="E17" s="10">
        <v>98</v>
      </c>
      <c r="F17" s="11">
        <f t="shared" ref="F15:F22" si="5">G17+H17</f>
        <v>2156</v>
      </c>
      <c r="G17" s="11">
        <f>E17*22</f>
        <v>2156</v>
      </c>
      <c r="H17" s="11">
        <v>0</v>
      </c>
      <c r="I17" s="19">
        <f t="shared" si="4"/>
        <v>2156</v>
      </c>
      <c r="J17" s="10"/>
    </row>
    <row r="18" spans="1:10" ht="15">
      <c r="A18" s="10" t="s">
        <v>107</v>
      </c>
      <c r="B18" s="10" t="s">
        <v>27</v>
      </c>
      <c r="C18" s="10" t="s">
        <v>31</v>
      </c>
      <c r="D18" s="10" t="s">
        <v>2</v>
      </c>
      <c r="E18" s="10">
        <v>30</v>
      </c>
      <c r="F18" s="11">
        <f t="shared" si="5"/>
        <v>660</v>
      </c>
      <c r="G18" s="11">
        <f>E18*22</f>
        <v>660</v>
      </c>
      <c r="H18" s="11">
        <v>0</v>
      </c>
      <c r="I18" s="19">
        <f t="shared" si="4"/>
        <v>660</v>
      </c>
      <c r="J18" s="10"/>
    </row>
    <row r="19" spans="1:10" ht="15">
      <c r="A19" s="10" t="s">
        <v>107</v>
      </c>
      <c r="B19" s="10" t="s">
        <v>27</v>
      </c>
      <c r="C19" s="10" t="s">
        <v>32</v>
      </c>
      <c r="D19" s="10" t="s">
        <v>2</v>
      </c>
      <c r="E19" s="10">
        <v>58</v>
      </c>
      <c r="F19" s="11">
        <f t="shared" si="5"/>
        <v>1160</v>
      </c>
      <c r="G19" s="11">
        <f>E19*20</f>
        <v>1160</v>
      </c>
      <c r="H19" s="11">
        <v>0</v>
      </c>
      <c r="I19" s="19">
        <f t="shared" si="4"/>
        <v>1160</v>
      </c>
      <c r="J19" s="10"/>
    </row>
    <row r="20" spans="1:10" ht="15">
      <c r="A20" s="10" t="s">
        <v>107</v>
      </c>
      <c r="B20" s="10" t="s">
        <v>27</v>
      </c>
      <c r="C20" s="10" t="s">
        <v>33</v>
      </c>
      <c r="D20" s="10" t="s">
        <v>2</v>
      </c>
      <c r="E20" s="10">
        <v>115</v>
      </c>
      <c r="F20" s="11">
        <f t="shared" si="5"/>
        <v>2530</v>
      </c>
      <c r="G20" s="11">
        <f>E20*22</f>
        <v>2530</v>
      </c>
      <c r="H20" s="11">
        <v>0</v>
      </c>
      <c r="I20" s="19">
        <f t="shared" si="4"/>
        <v>2530</v>
      </c>
      <c r="J20" s="10"/>
    </row>
    <row r="21" spans="1:10" ht="15">
      <c r="A21" s="10" t="s">
        <v>107</v>
      </c>
      <c r="B21" s="10" t="s">
        <v>27</v>
      </c>
      <c r="C21" s="10" t="s">
        <v>34</v>
      </c>
      <c r="D21" s="10" t="s">
        <v>2</v>
      </c>
      <c r="E21" s="10">
        <v>53</v>
      </c>
      <c r="F21" s="11">
        <f t="shared" si="5"/>
        <v>1007</v>
      </c>
      <c r="G21" s="11">
        <f>E21*19</f>
        <v>1007</v>
      </c>
      <c r="H21" s="11">
        <v>0</v>
      </c>
      <c r="I21" s="19">
        <f t="shared" si="4"/>
        <v>1007</v>
      </c>
      <c r="J21" s="10"/>
    </row>
    <row r="22" spans="1:10" ht="15">
      <c r="A22" s="10" t="s">
        <v>107</v>
      </c>
      <c r="B22" s="10" t="s">
        <v>27</v>
      </c>
      <c r="C22" s="10" t="s">
        <v>35</v>
      </c>
      <c r="D22" s="10" t="s">
        <v>2</v>
      </c>
      <c r="E22" s="10">
        <v>37</v>
      </c>
      <c r="F22" s="11">
        <f t="shared" si="5"/>
        <v>703</v>
      </c>
      <c r="G22" s="11">
        <f>E22*19</f>
        <v>703</v>
      </c>
      <c r="H22" s="11">
        <v>0</v>
      </c>
      <c r="I22" s="19">
        <f t="shared" si="4"/>
        <v>703</v>
      </c>
      <c r="J22" s="10"/>
    </row>
    <row r="23" spans="1:10" ht="15">
      <c r="A23" s="13" t="s">
        <v>107</v>
      </c>
      <c r="B23" s="13" t="s">
        <v>27</v>
      </c>
      <c r="C23" s="13" t="s">
        <v>16</v>
      </c>
      <c r="D23" s="13" t="s">
        <v>17</v>
      </c>
      <c r="E23" s="13">
        <f>SUM(E15:E22)</f>
        <v>838</v>
      </c>
      <c r="F23" s="14">
        <f>SUM(F15:F22)</f>
        <v>18161.53</v>
      </c>
      <c r="G23" s="14">
        <f>SUM(G15:G22)</f>
        <v>18139.03</v>
      </c>
      <c r="H23" s="14">
        <f>SUM(H15:H22)</f>
        <v>22.5</v>
      </c>
      <c r="I23" s="14">
        <f>SUM(I15:I22)</f>
        <v>18161.53</v>
      </c>
      <c r="J23" s="10"/>
    </row>
    <row r="24" spans="1:10" ht="15">
      <c r="A24" s="10" t="s">
        <v>107</v>
      </c>
      <c r="B24" s="10" t="s">
        <v>36</v>
      </c>
      <c r="C24" s="10" t="s">
        <v>37</v>
      </c>
      <c r="D24" s="10" t="s">
        <v>2</v>
      </c>
      <c r="E24" s="10">
        <v>205</v>
      </c>
      <c r="F24" s="11">
        <f t="shared" ref="F24:F32" si="6">G24+H24</f>
        <v>1435</v>
      </c>
      <c r="G24" s="11">
        <f>E24*7</f>
        <v>1435</v>
      </c>
      <c r="H24" s="11">
        <v>0</v>
      </c>
      <c r="I24" s="19">
        <f t="shared" ref="I24:I32" si="7">SUM(G24:H24)</f>
        <v>1435</v>
      </c>
      <c r="J24" s="10"/>
    </row>
    <row r="25" spans="1:10" ht="15">
      <c r="A25" s="10" t="s">
        <v>107</v>
      </c>
      <c r="B25" s="10" t="s">
        <v>36</v>
      </c>
      <c r="C25" s="10" t="s">
        <v>38</v>
      </c>
      <c r="D25" s="10" t="s">
        <v>2</v>
      </c>
      <c r="E25" s="10">
        <v>139</v>
      </c>
      <c r="F25" s="11">
        <f t="shared" si="6"/>
        <v>1413</v>
      </c>
      <c r="G25" s="11">
        <v>1413</v>
      </c>
      <c r="H25" s="11">
        <v>0</v>
      </c>
      <c r="I25" s="19">
        <f t="shared" si="7"/>
        <v>1413</v>
      </c>
      <c r="J25" s="10" t="s">
        <v>39</v>
      </c>
    </row>
    <row r="26" spans="1:10" ht="15">
      <c r="A26" s="10" t="s">
        <v>107</v>
      </c>
      <c r="B26" s="10" t="s">
        <v>36</v>
      </c>
      <c r="C26" s="10" t="s">
        <v>40</v>
      </c>
      <c r="D26" s="10" t="s">
        <v>2</v>
      </c>
      <c r="E26" s="10">
        <v>75</v>
      </c>
      <c r="F26" s="11">
        <f t="shared" si="6"/>
        <v>525</v>
      </c>
      <c r="G26" s="11">
        <f>E26*7</f>
        <v>525</v>
      </c>
      <c r="H26" s="11">
        <v>0</v>
      </c>
      <c r="I26" s="19">
        <f t="shared" si="7"/>
        <v>525</v>
      </c>
      <c r="J26" s="10"/>
    </row>
    <row r="27" spans="1:10" ht="15">
      <c r="A27" s="10" t="s">
        <v>107</v>
      </c>
      <c r="B27" s="10" t="s">
        <v>36</v>
      </c>
      <c r="C27" s="10" t="s">
        <v>41</v>
      </c>
      <c r="D27" s="10" t="s">
        <v>2</v>
      </c>
      <c r="E27" s="10">
        <f>147</f>
        <v>147</v>
      </c>
      <c r="F27" s="11">
        <f t="shared" si="6"/>
        <v>626.5</v>
      </c>
      <c r="G27" s="11">
        <f>E27*3.5</f>
        <v>514.5</v>
      </c>
      <c r="H27" s="11">
        <v>112</v>
      </c>
      <c r="I27" s="19">
        <f t="shared" si="7"/>
        <v>626.5</v>
      </c>
      <c r="J27" s="10" t="s">
        <v>42</v>
      </c>
    </row>
    <row r="28" spans="1:10" ht="15">
      <c r="A28" s="10" t="s">
        <v>107</v>
      </c>
      <c r="B28" s="10" t="s">
        <v>36</v>
      </c>
      <c r="C28" s="10" t="s">
        <v>43</v>
      </c>
      <c r="D28" s="10" t="s">
        <v>2</v>
      </c>
      <c r="E28" s="10">
        <v>96</v>
      </c>
      <c r="F28" s="11">
        <f t="shared" si="6"/>
        <v>672</v>
      </c>
      <c r="G28" s="11">
        <f>E28*7</f>
        <v>672</v>
      </c>
      <c r="H28" s="11">
        <v>0</v>
      </c>
      <c r="I28" s="19">
        <f t="shared" si="7"/>
        <v>672</v>
      </c>
      <c r="J28" s="10"/>
    </row>
    <row r="29" spans="1:10" ht="15">
      <c r="A29" s="10" t="s">
        <v>107</v>
      </c>
      <c r="B29" s="10" t="s">
        <v>36</v>
      </c>
      <c r="C29" s="10" t="s">
        <v>44</v>
      </c>
      <c r="D29" s="10" t="s">
        <v>2</v>
      </c>
      <c r="E29" s="10">
        <f>54+25</f>
        <v>79</v>
      </c>
      <c r="F29" s="11">
        <f t="shared" si="6"/>
        <v>851</v>
      </c>
      <c r="G29" s="11">
        <f>580+271</f>
        <v>851</v>
      </c>
      <c r="H29" s="11">
        <v>0</v>
      </c>
      <c r="I29" s="19">
        <f t="shared" si="7"/>
        <v>851</v>
      </c>
      <c r="J29" s="10" t="s">
        <v>45</v>
      </c>
    </row>
    <row r="30" spans="1:10" ht="15">
      <c r="A30" s="10" t="s">
        <v>107</v>
      </c>
      <c r="B30" s="10" t="s">
        <v>36</v>
      </c>
      <c r="C30" s="10" t="s">
        <v>46</v>
      </c>
      <c r="D30" s="10" t="s">
        <v>2</v>
      </c>
      <c r="E30" s="10">
        <v>72</v>
      </c>
      <c r="F30" s="11">
        <f>G30+H30</f>
        <v>311.5</v>
      </c>
      <c r="G30" s="11">
        <f>E30*3.5</f>
        <v>252</v>
      </c>
      <c r="H30" s="11">
        <v>59.5</v>
      </c>
      <c r="I30" s="19">
        <f t="shared" si="7"/>
        <v>311.5</v>
      </c>
      <c r="J30" s="10"/>
    </row>
    <row r="31" spans="1:10" ht="15">
      <c r="A31" s="10" t="s">
        <v>107</v>
      </c>
      <c r="B31" s="10" t="s">
        <v>36</v>
      </c>
      <c r="C31" s="10" t="s">
        <v>47</v>
      </c>
      <c r="D31" s="10" t="s">
        <v>2</v>
      </c>
      <c r="E31" s="10">
        <v>232</v>
      </c>
      <c r="F31" s="11">
        <f t="shared" si="6"/>
        <v>959</v>
      </c>
      <c r="G31" s="11">
        <f>E31*3.5</f>
        <v>812</v>
      </c>
      <c r="H31" s="11">
        <v>147</v>
      </c>
      <c r="I31" s="19">
        <f t="shared" si="7"/>
        <v>959</v>
      </c>
      <c r="J31" s="10"/>
    </row>
    <row r="32" spans="1:10" ht="15">
      <c r="A32" s="10" t="s">
        <v>107</v>
      </c>
      <c r="B32" s="10" t="s">
        <v>36</v>
      </c>
      <c r="C32" s="10" t="s">
        <v>48</v>
      </c>
      <c r="D32" s="10" t="s">
        <v>2</v>
      </c>
      <c r="E32" s="10">
        <f>22+27</f>
        <v>49</v>
      </c>
      <c r="F32" s="11">
        <f t="shared" si="6"/>
        <v>185.5</v>
      </c>
      <c r="G32" s="11">
        <f>E32*3.5</f>
        <v>171.5</v>
      </c>
      <c r="H32" s="11">
        <v>14</v>
      </c>
      <c r="I32" s="19">
        <f t="shared" si="7"/>
        <v>185.5</v>
      </c>
      <c r="J32" s="10" t="s">
        <v>49</v>
      </c>
    </row>
    <row r="33" spans="1:10" ht="15">
      <c r="A33" s="10" t="s">
        <v>107</v>
      </c>
      <c r="B33" s="10" t="s">
        <v>36</v>
      </c>
      <c r="C33" s="10" t="s">
        <v>50</v>
      </c>
      <c r="D33" s="10" t="s">
        <v>2</v>
      </c>
      <c r="E33" s="10">
        <v>126</v>
      </c>
      <c r="F33" s="11">
        <f>G33+H33</f>
        <v>521</v>
      </c>
      <c r="G33" s="11">
        <f>E33*3.5</f>
        <v>441</v>
      </c>
      <c r="H33" s="11">
        <v>80</v>
      </c>
      <c r="I33" s="19">
        <f>SUM(G33:H33)</f>
        <v>521</v>
      </c>
      <c r="J33" s="10"/>
    </row>
    <row r="34" spans="1:10" ht="15">
      <c r="A34" s="10" t="s">
        <v>107</v>
      </c>
      <c r="B34" s="10" t="s">
        <v>36</v>
      </c>
      <c r="C34" s="10" t="s">
        <v>51</v>
      </c>
      <c r="D34" s="10" t="s">
        <v>2</v>
      </c>
      <c r="E34" s="10">
        <f>9+18</f>
        <v>27</v>
      </c>
      <c r="F34" s="11">
        <f>G34+H34</f>
        <v>108</v>
      </c>
      <c r="G34" s="11">
        <f>E34*4</f>
        <v>108</v>
      </c>
      <c r="H34" s="11">
        <v>0</v>
      </c>
      <c r="I34" s="19">
        <f>SUM(G34:H34)</f>
        <v>108</v>
      </c>
      <c r="J34" s="10"/>
    </row>
    <row r="35" spans="1:10" ht="15">
      <c r="A35" s="10" t="s">
        <v>107</v>
      </c>
      <c r="B35" s="10" t="s">
        <v>36</v>
      </c>
      <c r="C35" s="10" t="s">
        <v>52</v>
      </c>
      <c r="D35" s="10" t="s">
        <v>2</v>
      </c>
      <c r="E35" s="10">
        <f>9+8+6+5+2</f>
        <v>30</v>
      </c>
      <c r="F35" s="11">
        <f>G35+H35</f>
        <v>135</v>
      </c>
      <c r="G35" s="11">
        <f>E35*4.5</f>
        <v>135</v>
      </c>
      <c r="H35" s="11">
        <v>0</v>
      </c>
      <c r="I35" s="19">
        <f>SUM(G35:H35)</f>
        <v>135</v>
      </c>
      <c r="J35" s="10"/>
    </row>
    <row r="36" spans="1:10" ht="15">
      <c r="A36" s="10" t="s">
        <v>107</v>
      </c>
      <c r="B36" s="10" t="s">
        <v>36</v>
      </c>
      <c r="C36" s="10" t="s">
        <v>53</v>
      </c>
      <c r="D36" s="10" t="s">
        <v>2</v>
      </c>
      <c r="E36" s="10">
        <v>19</v>
      </c>
      <c r="F36" s="11">
        <f>G36+H36</f>
        <v>66.5</v>
      </c>
      <c r="G36" s="11">
        <f>E36*3.5</f>
        <v>66.5</v>
      </c>
      <c r="H36" s="11">
        <v>0</v>
      </c>
      <c r="I36" s="19">
        <f>SUM(G36:H36)</f>
        <v>66.5</v>
      </c>
      <c r="J36" s="10"/>
    </row>
    <row r="37" spans="1:10" ht="15">
      <c r="A37" s="13" t="s">
        <v>107</v>
      </c>
      <c r="B37" s="13" t="s">
        <v>36</v>
      </c>
      <c r="C37" s="13" t="s">
        <v>16</v>
      </c>
      <c r="D37" s="13" t="s">
        <v>17</v>
      </c>
      <c r="E37" s="13">
        <f>SUM(E24:E36)</f>
        <v>1296</v>
      </c>
      <c r="F37" s="14">
        <f>SUM(F24:F36)</f>
        <v>7809</v>
      </c>
      <c r="G37" s="14">
        <f>SUM(G24:G36)</f>
        <v>7396.5</v>
      </c>
      <c r="H37" s="14">
        <f>SUM(H24:H36)</f>
        <v>412.5</v>
      </c>
      <c r="I37" s="14">
        <f>SUM(I24:I36)</f>
        <v>7809</v>
      </c>
      <c r="J37" s="10"/>
    </row>
    <row r="38" spans="1:10" ht="15">
      <c r="A38" s="10" t="s">
        <v>107</v>
      </c>
      <c r="B38" s="10" t="s">
        <v>54</v>
      </c>
      <c r="C38" s="10" t="s">
        <v>55</v>
      </c>
      <c r="D38" s="10" t="s">
        <v>2</v>
      </c>
      <c r="E38" s="10">
        <v>109</v>
      </c>
      <c r="F38" s="11">
        <f t="shared" ref="F38:F48" si="8">G38+H38</f>
        <v>981</v>
      </c>
      <c r="G38" s="11">
        <f>E38*9</f>
        <v>981</v>
      </c>
      <c r="H38" s="11">
        <v>0</v>
      </c>
      <c r="I38" s="19">
        <f t="shared" ref="I38:I46" si="9">SUM(G38:H38)</f>
        <v>981</v>
      </c>
      <c r="J38" s="10"/>
    </row>
    <row r="39" spans="1:10" ht="15">
      <c r="A39" s="10" t="s">
        <v>107</v>
      </c>
      <c r="B39" s="10" t="s">
        <v>54</v>
      </c>
      <c r="C39" s="10" t="s">
        <v>56</v>
      </c>
      <c r="D39" s="10" t="s">
        <v>2</v>
      </c>
      <c r="E39" s="10">
        <v>21</v>
      </c>
      <c r="F39" s="11">
        <f t="shared" si="8"/>
        <v>189</v>
      </c>
      <c r="G39" s="11">
        <f>E39*9</f>
        <v>189</v>
      </c>
      <c r="H39" s="11">
        <v>0</v>
      </c>
      <c r="I39" s="19">
        <f t="shared" si="9"/>
        <v>189</v>
      </c>
      <c r="J39" s="10"/>
    </row>
    <row r="40" spans="1:10" ht="15">
      <c r="A40" s="10" t="s">
        <v>107</v>
      </c>
      <c r="B40" s="10" t="s">
        <v>54</v>
      </c>
      <c r="C40" s="10" t="s">
        <v>57</v>
      </c>
      <c r="D40" s="10" t="s">
        <v>2</v>
      </c>
      <c r="E40" s="10">
        <v>30</v>
      </c>
      <c r="F40" s="11">
        <f t="shared" si="8"/>
        <v>330</v>
      </c>
      <c r="G40" s="11">
        <f>E40*11</f>
        <v>330</v>
      </c>
      <c r="H40" s="11">
        <v>0</v>
      </c>
      <c r="I40" s="19">
        <f t="shared" si="9"/>
        <v>330</v>
      </c>
      <c r="J40" s="10"/>
    </row>
    <row r="41" spans="1:10" ht="15">
      <c r="A41" s="10" t="s">
        <v>107</v>
      </c>
      <c r="B41" s="10" t="s">
        <v>54</v>
      </c>
      <c r="C41" s="10" t="s">
        <v>58</v>
      </c>
      <c r="D41" s="10" t="s">
        <v>2</v>
      </c>
      <c r="E41" s="10">
        <v>18</v>
      </c>
      <c r="F41" s="11">
        <f t="shared" si="8"/>
        <v>126</v>
      </c>
      <c r="G41" s="11">
        <f>E41*7</f>
        <v>126</v>
      </c>
      <c r="H41" s="11">
        <v>0</v>
      </c>
      <c r="I41" s="19">
        <f t="shared" si="9"/>
        <v>126</v>
      </c>
      <c r="J41" s="10"/>
    </row>
    <row r="42" spans="1:10" ht="15">
      <c r="A42" s="10" t="s">
        <v>107</v>
      </c>
      <c r="B42" s="10" t="s">
        <v>54</v>
      </c>
      <c r="C42" s="10" t="s">
        <v>59</v>
      </c>
      <c r="D42" s="10" t="s">
        <v>2</v>
      </c>
      <c r="E42" s="10">
        <v>5</v>
      </c>
      <c r="F42" s="11">
        <f t="shared" si="8"/>
        <v>30</v>
      </c>
      <c r="G42" s="11">
        <f>E42*6</f>
        <v>30</v>
      </c>
      <c r="H42" s="11">
        <v>0</v>
      </c>
      <c r="I42" s="19">
        <f t="shared" si="9"/>
        <v>30</v>
      </c>
      <c r="J42" s="10"/>
    </row>
    <row r="43" spans="1:10" ht="15">
      <c r="A43" s="10" t="s">
        <v>107</v>
      </c>
      <c r="B43" s="10" t="s">
        <v>54</v>
      </c>
      <c r="C43" s="10" t="s">
        <v>60</v>
      </c>
      <c r="D43" s="10" t="s">
        <v>2</v>
      </c>
      <c r="E43" s="10">
        <v>32</v>
      </c>
      <c r="F43" s="11">
        <f t="shared" si="8"/>
        <v>192</v>
      </c>
      <c r="G43" s="11">
        <f>E43*6</f>
        <v>192</v>
      </c>
      <c r="H43" s="11">
        <v>0</v>
      </c>
      <c r="I43" s="19">
        <f t="shared" si="9"/>
        <v>192</v>
      </c>
      <c r="J43" s="10"/>
    </row>
    <row r="44" spans="1:10" ht="15">
      <c r="A44" s="10" t="s">
        <v>107</v>
      </c>
      <c r="B44" s="10" t="s">
        <v>54</v>
      </c>
      <c r="C44" s="10" t="s">
        <v>61</v>
      </c>
      <c r="D44" s="10" t="s">
        <v>2</v>
      </c>
      <c r="E44" s="10">
        <v>43</v>
      </c>
      <c r="F44" s="11">
        <f t="shared" si="8"/>
        <v>172</v>
      </c>
      <c r="G44" s="11">
        <f>E44*4</f>
        <v>172</v>
      </c>
      <c r="H44" s="11">
        <v>0</v>
      </c>
      <c r="I44" s="19">
        <f t="shared" si="9"/>
        <v>172</v>
      </c>
      <c r="J44" s="10"/>
    </row>
    <row r="45" spans="1:10" ht="15">
      <c r="A45" s="10" t="s">
        <v>107</v>
      </c>
      <c r="B45" s="10" t="s">
        <v>54</v>
      </c>
      <c r="C45" s="10" t="s">
        <v>62</v>
      </c>
      <c r="D45" s="10" t="s">
        <v>2</v>
      </c>
      <c r="E45" s="10">
        <v>24</v>
      </c>
      <c r="F45" s="11">
        <f t="shared" si="8"/>
        <v>192</v>
      </c>
      <c r="G45" s="11">
        <f>E45*8</f>
        <v>192</v>
      </c>
      <c r="H45" s="11">
        <v>0</v>
      </c>
      <c r="I45" s="19">
        <f t="shared" si="9"/>
        <v>192</v>
      </c>
      <c r="J45" s="10"/>
    </row>
    <row r="46" spans="1:10" ht="15">
      <c r="A46" s="10" t="s">
        <v>107</v>
      </c>
      <c r="B46" s="10" t="s">
        <v>54</v>
      </c>
      <c r="C46" s="10" t="s">
        <v>63</v>
      </c>
      <c r="D46" s="10" t="s">
        <v>2</v>
      </c>
      <c r="E46" s="10">
        <v>69</v>
      </c>
      <c r="F46" s="11">
        <f t="shared" si="8"/>
        <v>345</v>
      </c>
      <c r="G46" s="11">
        <f>E46*5</f>
        <v>345</v>
      </c>
      <c r="H46" s="11">
        <v>0</v>
      </c>
      <c r="I46" s="19">
        <f t="shared" si="9"/>
        <v>345</v>
      </c>
      <c r="J46" s="10"/>
    </row>
    <row r="47" spans="1:10" ht="15">
      <c r="A47" s="10" t="s">
        <v>107</v>
      </c>
      <c r="B47" s="10" t="s">
        <v>54</v>
      </c>
      <c r="C47" s="10" t="s">
        <v>64</v>
      </c>
      <c r="D47" s="10" t="s">
        <v>2</v>
      </c>
      <c r="E47" s="10">
        <v>45</v>
      </c>
      <c r="F47" s="11">
        <f t="shared" si="8"/>
        <v>540</v>
      </c>
      <c r="G47" s="11">
        <f>E47*12</f>
        <v>540</v>
      </c>
      <c r="H47" s="11">
        <v>0</v>
      </c>
      <c r="I47" s="19">
        <f>SUM(G47:H47)</f>
        <v>540</v>
      </c>
      <c r="J47" s="10"/>
    </row>
    <row r="48" spans="1:10" ht="15">
      <c r="A48" s="10" t="s">
        <v>107</v>
      </c>
      <c r="B48" s="10" t="s">
        <v>54</v>
      </c>
      <c r="C48" s="10" t="s">
        <v>65</v>
      </c>
      <c r="D48" s="10" t="s">
        <v>2</v>
      </c>
      <c r="E48" s="10">
        <v>21</v>
      </c>
      <c r="F48" s="11">
        <f t="shared" si="8"/>
        <v>147</v>
      </c>
      <c r="G48" s="11">
        <f>E48*7</f>
        <v>147</v>
      </c>
      <c r="H48" s="11">
        <v>0</v>
      </c>
      <c r="I48" s="19">
        <f>SUM(G48:H48)</f>
        <v>147</v>
      </c>
      <c r="J48" s="10"/>
    </row>
    <row r="49" spans="1:10" ht="15">
      <c r="A49" s="10" t="s">
        <v>107</v>
      </c>
      <c r="B49" s="10" t="s">
        <v>54</v>
      </c>
      <c r="C49" s="10" t="s">
        <v>66</v>
      </c>
      <c r="D49" s="10" t="s">
        <v>2</v>
      </c>
      <c r="E49" s="10">
        <v>20</v>
      </c>
      <c r="F49" s="11">
        <f>G49+H49</f>
        <v>120</v>
      </c>
      <c r="G49" s="11">
        <f>E49*6</f>
        <v>120</v>
      </c>
      <c r="H49" s="11">
        <v>0</v>
      </c>
      <c r="I49" s="11">
        <f>J49+K49</f>
        <v>0</v>
      </c>
      <c r="J49" s="10"/>
    </row>
    <row r="50" spans="1:10" ht="15">
      <c r="A50" s="10" t="s">
        <v>107</v>
      </c>
      <c r="B50" s="10" t="s">
        <v>54</v>
      </c>
      <c r="C50" s="10" t="s">
        <v>67</v>
      </c>
      <c r="D50" s="10" t="s">
        <v>2</v>
      </c>
      <c r="E50" s="10">
        <v>37</v>
      </c>
      <c r="F50" s="11">
        <f>G50+H50</f>
        <v>333</v>
      </c>
      <c r="G50" s="11">
        <f>E50*9</f>
        <v>333</v>
      </c>
      <c r="H50" s="11">
        <v>0</v>
      </c>
      <c r="I50" s="19">
        <f>SUM(G50:H50)</f>
        <v>333</v>
      </c>
      <c r="J50" s="10"/>
    </row>
    <row r="51" spans="1:10" ht="15">
      <c r="A51" s="10" t="s">
        <v>107</v>
      </c>
      <c r="B51" s="10" t="s">
        <v>54</v>
      </c>
      <c r="C51" s="10" t="s">
        <v>68</v>
      </c>
      <c r="D51" s="10" t="s">
        <v>2</v>
      </c>
      <c r="E51" s="10">
        <v>13</v>
      </c>
      <c r="F51" s="11">
        <f>G51+H51</f>
        <v>65</v>
      </c>
      <c r="G51" s="11">
        <f>E51*5</f>
        <v>65</v>
      </c>
      <c r="H51" s="11">
        <v>0</v>
      </c>
      <c r="I51" s="19">
        <f>SUM(G51:H51)</f>
        <v>65</v>
      </c>
      <c r="J51" s="10"/>
    </row>
    <row r="52" spans="1:10" ht="15">
      <c r="A52" s="13" t="s">
        <v>107</v>
      </c>
      <c r="B52" s="13" t="s">
        <v>54</v>
      </c>
      <c r="C52" s="13" t="s">
        <v>16</v>
      </c>
      <c r="D52" s="13" t="s">
        <v>17</v>
      </c>
      <c r="E52" s="13">
        <f>SUM(E38:E51)</f>
        <v>487</v>
      </c>
      <c r="F52" s="14">
        <f>SUM(F38:F51)</f>
        <v>3762</v>
      </c>
      <c r="G52" s="14">
        <f>SUM(G38:G51)</f>
        <v>3762</v>
      </c>
      <c r="H52" s="14">
        <v>0</v>
      </c>
      <c r="I52" s="14">
        <f>SUM(I38:I51)</f>
        <v>3642</v>
      </c>
      <c r="J52" s="10"/>
    </row>
    <row r="53" spans="1:10" ht="15">
      <c r="A53" s="10" t="s">
        <v>107</v>
      </c>
      <c r="B53" s="10" t="s">
        <v>69</v>
      </c>
      <c r="C53" s="10" t="s">
        <v>70</v>
      </c>
      <c r="D53" s="10" t="s">
        <v>2</v>
      </c>
      <c r="E53" s="10">
        <v>64</v>
      </c>
      <c r="F53" s="11">
        <f t="shared" ref="F53:F55" si="10">G53+H53</f>
        <v>1216</v>
      </c>
      <c r="G53" s="11">
        <f>E53*19</f>
        <v>1216</v>
      </c>
      <c r="H53" s="11">
        <v>0</v>
      </c>
      <c r="I53" s="19">
        <f t="shared" ref="I53:I54" si="11">SUM(G53:H53)</f>
        <v>1216</v>
      </c>
      <c r="J53" s="10"/>
    </row>
    <row r="54" spans="1:10" ht="15">
      <c r="A54" s="10" t="s">
        <v>107</v>
      </c>
      <c r="B54" s="10" t="s">
        <v>69</v>
      </c>
      <c r="C54" s="10" t="s">
        <v>71</v>
      </c>
      <c r="D54" s="10" t="s">
        <v>2</v>
      </c>
      <c r="E54" s="10">
        <v>53</v>
      </c>
      <c r="F54" s="11">
        <f t="shared" si="10"/>
        <v>954</v>
      </c>
      <c r="G54" s="11">
        <f>E54*18</f>
        <v>954</v>
      </c>
      <c r="H54" s="11">
        <v>0</v>
      </c>
      <c r="I54" s="19">
        <f t="shared" si="11"/>
        <v>954</v>
      </c>
      <c r="J54" s="10"/>
    </row>
    <row r="55" spans="1:10" ht="15">
      <c r="A55" s="10" t="s">
        <v>107</v>
      </c>
      <c r="B55" s="10" t="s">
        <v>69</v>
      </c>
      <c r="C55" s="10" t="s">
        <v>72</v>
      </c>
      <c r="D55" s="10" t="s">
        <v>2</v>
      </c>
      <c r="E55" s="10">
        <v>8</v>
      </c>
      <c r="F55" s="11">
        <f t="shared" si="10"/>
        <v>128</v>
      </c>
      <c r="G55" s="11">
        <f>E55*16</f>
        <v>128</v>
      </c>
      <c r="H55" s="11">
        <v>0</v>
      </c>
      <c r="I55" s="19">
        <f>SUM(G55:H55)</f>
        <v>128</v>
      </c>
      <c r="J55" s="10"/>
    </row>
    <row r="56" spans="1:10" ht="15">
      <c r="A56" s="10" t="s">
        <v>107</v>
      </c>
      <c r="B56" s="10" t="s">
        <v>69</v>
      </c>
      <c r="C56" s="10" t="s">
        <v>73</v>
      </c>
      <c r="D56" s="10" t="s">
        <v>2</v>
      </c>
      <c r="E56" s="10">
        <v>2</v>
      </c>
      <c r="F56" s="11">
        <f t="shared" ref="F56" si="12">G56+H56</f>
        <v>24</v>
      </c>
      <c r="G56" s="11">
        <f>E56*12</f>
        <v>24</v>
      </c>
      <c r="H56" s="11">
        <v>0</v>
      </c>
      <c r="I56" s="19">
        <f>SUM(G56:H56)</f>
        <v>24</v>
      </c>
      <c r="J56" s="10"/>
    </row>
    <row r="57" spans="1:10" ht="15">
      <c r="A57" s="10" t="s">
        <v>107</v>
      </c>
      <c r="B57" s="10" t="s">
        <v>69</v>
      </c>
      <c r="C57" s="10" t="s">
        <v>74</v>
      </c>
      <c r="D57" s="10" t="s">
        <v>2</v>
      </c>
      <c r="E57" s="10">
        <v>2</v>
      </c>
      <c r="F57" s="11">
        <f t="shared" ref="F57" si="13">G57+H57</f>
        <v>38</v>
      </c>
      <c r="G57" s="11">
        <f>E57*19</f>
        <v>38</v>
      </c>
      <c r="H57" s="11">
        <v>0</v>
      </c>
      <c r="I57" s="19">
        <f>SUM(G57:H57)</f>
        <v>38</v>
      </c>
      <c r="J57" s="10"/>
    </row>
    <row r="58" spans="1:10" ht="15">
      <c r="A58" s="13" t="s">
        <v>107</v>
      </c>
      <c r="B58" s="13" t="s">
        <v>69</v>
      </c>
      <c r="C58" s="13" t="s">
        <v>16</v>
      </c>
      <c r="D58" s="13" t="s">
        <v>17</v>
      </c>
      <c r="E58" s="13">
        <f>SUM(E53:E57)</f>
        <v>129</v>
      </c>
      <c r="F58" s="14">
        <f>SUM(F53:F57)</f>
        <v>2360</v>
      </c>
      <c r="G58" s="14">
        <f>SUM(G53:G57)</f>
        <v>2360</v>
      </c>
      <c r="H58" s="14">
        <v>0</v>
      </c>
      <c r="I58" s="14">
        <f>SUM(I53:I57)</f>
        <v>2360</v>
      </c>
      <c r="J58" s="10"/>
    </row>
    <row r="59" spans="1:10" ht="15">
      <c r="A59" s="10" t="s">
        <v>107</v>
      </c>
      <c r="B59" s="10" t="s">
        <v>75</v>
      </c>
      <c r="C59" s="10" t="s">
        <v>76</v>
      </c>
      <c r="D59" s="10" t="s">
        <v>2</v>
      </c>
      <c r="E59" s="10">
        <v>172</v>
      </c>
      <c r="F59" s="11">
        <f t="shared" ref="F59:F61" si="14">G59+H59</f>
        <v>3096</v>
      </c>
      <c r="G59" s="11">
        <f>E59*18</f>
        <v>3096</v>
      </c>
      <c r="H59" s="11">
        <v>0</v>
      </c>
      <c r="I59" s="19">
        <f t="shared" ref="I59:I61" si="15">SUM(G59:H59)</f>
        <v>3096</v>
      </c>
      <c r="J59" s="10"/>
    </row>
    <row r="60" spans="1:10" ht="15">
      <c r="A60" s="10" t="s">
        <v>107</v>
      </c>
      <c r="B60" s="10" t="s">
        <v>75</v>
      </c>
      <c r="C60" s="10" t="s">
        <v>77</v>
      </c>
      <c r="D60" s="10" t="s">
        <v>2</v>
      </c>
      <c r="E60" s="10">
        <v>29</v>
      </c>
      <c r="F60" s="11">
        <f t="shared" si="14"/>
        <v>522</v>
      </c>
      <c r="G60" s="11">
        <f>E60*18</f>
        <v>522</v>
      </c>
      <c r="H60" s="11">
        <v>0</v>
      </c>
      <c r="I60" s="19">
        <f t="shared" si="15"/>
        <v>522</v>
      </c>
      <c r="J60" s="10"/>
    </row>
    <row r="61" spans="1:10" ht="15">
      <c r="A61" s="10" t="s">
        <v>107</v>
      </c>
      <c r="B61" s="10" t="s">
        <v>75</v>
      </c>
      <c r="C61" s="10" t="s">
        <v>78</v>
      </c>
      <c r="D61" s="10" t="s">
        <v>2</v>
      </c>
      <c r="E61" s="10">
        <v>14</v>
      </c>
      <c r="F61" s="11">
        <f t="shared" si="14"/>
        <v>252</v>
      </c>
      <c r="G61" s="11">
        <f>E61*18</f>
        <v>252</v>
      </c>
      <c r="H61" s="11">
        <v>0</v>
      </c>
      <c r="I61" s="19">
        <f t="shared" si="15"/>
        <v>252</v>
      </c>
      <c r="J61" s="10"/>
    </row>
    <row r="62" spans="1:10" ht="15">
      <c r="A62" s="13" t="s">
        <v>107</v>
      </c>
      <c r="B62" s="13" t="s">
        <v>75</v>
      </c>
      <c r="C62" s="13" t="s">
        <v>16</v>
      </c>
      <c r="D62" s="13" t="s">
        <v>17</v>
      </c>
      <c r="E62" s="13">
        <f>SUM(E59:E61)</f>
        <v>215</v>
      </c>
      <c r="F62" s="14">
        <f>SUM(F59:F61)</f>
        <v>3870</v>
      </c>
      <c r="G62" s="14">
        <f>SUM(G59:G61)</f>
        <v>3870</v>
      </c>
      <c r="H62" s="14">
        <v>0</v>
      </c>
      <c r="I62" s="14">
        <f>SUM(I59:I61)</f>
        <v>3870</v>
      </c>
      <c r="J62" s="10"/>
    </row>
    <row r="63" spans="1:10" ht="15">
      <c r="A63" s="10" t="s">
        <v>107</v>
      </c>
      <c r="B63" s="10" t="s">
        <v>79</v>
      </c>
      <c r="C63" s="10" t="s">
        <v>80</v>
      </c>
      <c r="D63" s="10" t="s">
        <v>2</v>
      </c>
      <c r="E63" s="10">
        <v>18</v>
      </c>
      <c r="F63" s="11">
        <f t="shared" ref="F63:F64" si="16">G63+H63</f>
        <v>324</v>
      </c>
      <c r="G63" s="11">
        <f>E63*18</f>
        <v>324</v>
      </c>
      <c r="H63" s="11">
        <v>0</v>
      </c>
      <c r="I63" s="19">
        <f t="shared" ref="I63:I64" si="17">SUM(G63:H63)</f>
        <v>324</v>
      </c>
      <c r="J63" s="10"/>
    </row>
    <row r="64" spans="1:10" ht="15">
      <c r="A64" s="10" t="s">
        <v>107</v>
      </c>
      <c r="B64" s="10" t="s">
        <v>79</v>
      </c>
      <c r="C64" s="10" t="s">
        <v>81</v>
      </c>
      <c r="D64" s="10" t="s">
        <v>2</v>
      </c>
      <c r="E64" s="10">
        <v>26</v>
      </c>
      <c r="F64" s="11">
        <f t="shared" si="16"/>
        <v>468</v>
      </c>
      <c r="G64" s="11">
        <f>E64*18</f>
        <v>468</v>
      </c>
      <c r="H64" s="11">
        <v>0</v>
      </c>
      <c r="I64" s="19">
        <f t="shared" si="17"/>
        <v>468</v>
      </c>
      <c r="J64" s="10"/>
    </row>
    <row r="65" spans="1:10" ht="15">
      <c r="A65" s="13" t="s">
        <v>107</v>
      </c>
      <c r="B65" s="13" t="s">
        <v>79</v>
      </c>
      <c r="C65" s="13" t="s">
        <v>16</v>
      </c>
      <c r="D65" s="13" t="s">
        <v>17</v>
      </c>
      <c r="E65" s="13">
        <f>SUM(E63:E64)</f>
        <v>44</v>
      </c>
      <c r="F65" s="14">
        <f>SUM(F63:F64)</f>
        <v>792</v>
      </c>
      <c r="G65" s="14">
        <f>SUM(G63:G64)</f>
        <v>792</v>
      </c>
      <c r="H65" s="14">
        <v>0</v>
      </c>
      <c r="I65" s="14">
        <f>SUM(I63:I64)</f>
        <v>792</v>
      </c>
      <c r="J65" s="10"/>
    </row>
    <row r="66" spans="1:10" ht="15">
      <c r="A66" s="10" t="s">
        <v>107</v>
      </c>
      <c r="B66" s="10" t="s">
        <v>82</v>
      </c>
      <c r="C66" s="10" t="s">
        <v>83</v>
      </c>
      <c r="D66" s="10" t="s">
        <v>2</v>
      </c>
      <c r="E66" s="10">
        <v>55</v>
      </c>
      <c r="F66" s="11">
        <f>G66+H66</f>
        <v>275</v>
      </c>
      <c r="G66" s="11">
        <f>E66*5</f>
        <v>275</v>
      </c>
      <c r="H66" s="11">
        <v>0</v>
      </c>
      <c r="I66" s="19">
        <f t="shared" ref="I66:I69" si="18">SUM(G66:H66)</f>
        <v>275</v>
      </c>
      <c r="J66" s="10"/>
    </row>
    <row r="67" spans="1:10" ht="15">
      <c r="A67" s="10" t="s">
        <v>107</v>
      </c>
      <c r="B67" s="10" t="s">
        <v>82</v>
      </c>
      <c r="C67" s="10" t="s">
        <v>84</v>
      </c>
      <c r="D67" s="10" t="s">
        <v>2</v>
      </c>
      <c r="E67" s="10">
        <v>25</v>
      </c>
      <c r="F67" s="11">
        <f t="shared" ref="F66:F69" si="19">G67+H67</f>
        <v>100</v>
      </c>
      <c r="G67" s="11">
        <f>E67*4</f>
        <v>100</v>
      </c>
      <c r="H67" s="11">
        <v>0</v>
      </c>
      <c r="I67" s="19">
        <f t="shared" si="18"/>
        <v>100</v>
      </c>
      <c r="J67" s="10"/>
    </row>
    <row r="68" spans="1:10" ht="15">
      <c r="A68" s="10" t="s">
        <v>107</v>
      </c>
      <c r="B68" s="10" t="s">
        <v>82</v>
      </c>
      <c r="C68" s="10" t="s">
        <v>85</v>
      </c>
      <c r="D68" s="10" t="s">
        <v>2</v>
      </c>
      <c r="E68" s="10">
        <v>19</v>
      </c>
      <c r="F68" s="11">
        <f t="shared" si="19"/>
        <v>95</v>
      </c>
      <c r="G68" s="11">
        <f>E68*5</f>
        <v>95</v>
      </c>
      <c r="H68" s="11">
        <v>0</v>
      </c>
      <c r="I68" s="19">
        <f t="shared" si="18"/>
        <v>95</v>
      </c>
      <c r="J68" s="10"/>
    </row>
    <row r="69" spans="1:10" ht="15">
      <c r="A69" s="10" t="s">
        <v>107</v>
      </c>
      <c r="B69" s="10" t="s">
        <v>82</v>
      </c>
      <c r="C69" s="10" t="s">
        <v>86</v>
      </c>
      <c r="D69" s="10" t="s">
        <v>2</v>
      </c>
      <c r="E69" s="10">
        <v>21</v>
      </c>
      <c r="F69" s="11">
        <f t="shared" si="19"/>
        <v>105</v>
      </c>
      <c r="G69" s="11">
        <f t="shared" ref="G69:G70" si="20">E69*5</f>
        <v>105</v>
      </c>
      <c r="H69" s="11">
        <v>0</v>
      </c>
      <c r="I69" s="19">
        <f t="shared" si="18"/>
        <v>105</v>
      </c>
      <c r="J69" s="10"/>
    </row>
    <row r="70" spans="1:10" ht="15">
      <c r="A70" s="13" t="s">
        <v>107</v>
      </c>
      <c r="B70" s="13" t="s">
        <v>82</v>
      </c>
      <c r="C70" s="13" t="s">
        <v>16</v>
      </c>
      <c r="D70" s="13" t="s">
        <v>17</v>
      </c>
      <c r="E70" s="13">
        <f>SUM(E66:E69)</f>
        <v>120</v>
      </c>
      <c r="F70" s="14">
        <f>SUM(F66:F69)</f>
        <v>575</v>
      </c>
      <c r="G70" s="14">
        <f>SUM(G66:G69)</f>
        <v>575</v>
      </c>
      <c r="H70" s="14">
        <v>0</v>
      </c>
      <c r="I70" s="14">
        <f>SUM(I66:I69)</f>
        <v>575</v>
      </c>
      <c r="J70" s="10"/>
    </row>
    <row r="71" spans="1:10" ht="15">
      <c r="A71" s="10" t="s">
        <v>107</v>
      </c>
      <c r="B71" s="10" t="s">
        <v>87</v>
      </c>
      <c r="C71" s="10" t="s">
        <v>88</v>
      </c>
      <c r="D71" s="10" t="s">
        <v>2</v>
      </c>
      <c r="E71" s="10">
        <v>43</v>
      </c>
      <c r="F71" s="11">
        <f t="shared" ref="F71:F72" si="21">G71+H71</f>
        <v>859.56999999999994</v>
      </c>
      <c r="G71" s="11">
        <f>E71*19.99</f>
        <v>859.56999999999994</v>
      </c>
      <c r="H71" s="11">
        <v>0</v>
      </c>
      <c r="I71" s="19">
        <f t="shared" ref="I71:I72" si="22">SUM(G71:H71)</f>
        <v>859.56999999999994</v>
      </c>
      <c r="J71" s="10"/>
    </row>
    <row r="72" spans="1:10" ht="15">
      <c r="A72" s="10" t="s">
        <v>107</v>
      </c>
      <c r="B72" s="10" t="s">
        <v>87</v>
      </c>
      <c r="C72" s="10" t="s">
        <v>89</v>
      </c>
      <c r="D72" s="10" t="s">
        <v>2</v>
      </c>
      <c r="E72" s="10">
        <v>13</v>
      </c>
      <c r="F72" s="11">
        <f t="shared" si="21"/>
        <v>259.87</v>
      </c>
      <c r="G72" s="11">
        <f>E72*19.99</f>
        <v>259.87</v>
      </c>
      <c r="H72" s="11">
        <v>0</v>
      </c>
      <c r="I72" s="19">
        <f t="shared" si="22"/>
        <v>259.87</v>
      </c>
      <c r="J72" s="10"/>
    </row>
    <row r="73" spans="1:10" ht="15">
      <c r="A73" s="13" t="s">
        <v>107</v>
      </c>
      <c r="B73" s="13" t="s">
        <v>87</v>
      </c>
      <c r="C73" s="13" t="s">
        <v>16</v>
      </c>
      <c r="D73" s="13" t="s">
        <v>17</v>
      </c>
      <c r="E73" s="13">
        <f>SUM(E71:E72)</f>
        <v>56</v>
      </c>
      <c r="F73" s="14">
        <f>SUM(F71:F72)</f>
        <v>1119.44</v>
      </c>
      <c r="G73" s="14">
        <f>SUM(G71:G72)</f>
        <v>1119.44</v>
      </c>
      <c r="H73" s="14">
        <v>0</v>
      </c>
      <c r="I73" s="14">
        <f>SUM(I71:I72)</f>
        <v>1119.44</v>
      </c>
      <c r="J73" s="10"/>
    </row>
    <row r="74" spans="1:10" ht="15">
      <c r="A74" s="10" t="s">
        <v>107</v>
      </c>
      <c r="B74" s="10" t="s">
        <v>90</v>
      </c>
      <c r="C74" s="10" t="s">
        <v>91</v>
      </c>
      <c r="D74" s="10" t="s">
        <v>2</v>
      </c>
      <c r="E74" s="10">
        <v>68</v>
      </c>
      <c r="F74" s="11">
        <f t="shared" ref="F74:F76" si="23">G74+H74</f>
        <v>884</v>
      </c>
      <c r="G74" s="11">
        <f>E74*13</f>
        <v>884</v>
      </c>
      <c r="H74" s="11">
        <v>0</v>
      </c>
      <c r="I74" s="19">
        <f t="shared" ref="I74:I76" si="24">SUM(G74:H74)</f>
        <v>884</v>
      </c>
      <c r="J74" s="10"/>
    </row>
    <row r="75" spans="1:10" ht="15">
      <c r="A75" s="10" t="s">
        <v>107</v>
      </c>
      <c r="B75" s="10" t="s">
        <v>90</v>
      </c>
      <c r="C75" s="10" t="s">
        <v>92</v>
      </c>
      <c r="D75" s="10" t="s">
        <v>2</v>
      </c>
      <c r="E75" s="10">
        <v>6</v>
      </c>
      <c r="F75" s="11">
        <f t="shared" ref="F75" si="25">G75+H75</f>
        <v>54</v>
      </c>
      <c r="G75" s="11">
        <f>E75*9</f>
        <v>54</v>
      </c>
      <c r="H75" s="11">
        <v>0</v>
      </c>
      <c r="I75" s="19">
        <f t="shared" ref="I75" si="26">SUM(G75:H75)</f>
        <v>54</v>
      </c>
      <c r="J75" s="10"/>
    </row>
    <row r="76" spans="1:10" ht="15">
      <c r="A76" s="10" t="s">
        <v>107</v>
      </c>
      <c r="B76" s="10" t="s">
        <v>90</v>
      </c>
      <c r="C76" s="10" t="s">
        <v>93</v>
      </c>
      <c r="D76" s="10" t="s">
        <v>2</v>
      </c>
      <c r="E76" s="10">
        <f>8+6</f>
        <v>14</v>
      </c>
      <c r="F76" s="11">
        <f t="shared" si="23"/>
        <v>56</v>
      </c>
      <c r="G76" s="11">
        <f>E76*4</f>
        <v>56</v>
      </c>
      <c r="H76" s="11">
        <v>0</v>
      </c>
      <c r="I76" s="19">
        <f t="shared" si="24"/>
        <v>56</v>
      </c>
      <c r="J76" s="10" t="s">
        <v>94</v>
      </c>
    </row>
    <row r="77" spans="1:10" ht="15">
      <c r="A77" s="13" t="s">
        <v>107</v>
      </c>
      <c r="B77" s="13" t="s">
        <v>90</v>
      </c>
      <c r="C77" s="13" t="s">
        <v>16</v>
      </c>
      <c r="D77" s="13" t="s">
        <v>17</v>
      </c>
      <c r="E77" s="13">
        <f>SUM(E74:E76)</f>
        <v>88</v>
      </c>
      <c r="F77" s="14">
        <f>SUM(F74:F76)</f>
        <v>994</v>
      </c>
      <c r="G77" s="14">
        <f>SUM(G74:G76)</f>
        <v>994</v>
      </c>
      <c r="H77" s="14">
        <v>0</v>
      </c>
      <c r="I77" s="14">
        <f>SUM(I74:I76)</f>
        <v>994</v>
      </c>
      <c r="J77" s="10"/>
    </row>
    <row r="78" spans="1:10" ht="15">
      <c r="A78" s="10" t="s">
        <v>107</v>
      </c>
      <c r="B78" s="10" t="s">
        <v>95</v>
      </c>
      <c r="C78" s="10" t="s">
        <v>96</v>
      </c>
      <c r="D78" s="10" t="s">
        <v>2</v>
      </c>
      <c r="E78" s="10">
        <v>7</v>
      </c>
      <c r="F78" s="11">
        <f t="shared" ref="F78:F86" si="27">G78+H78</f>
        <v>14</v>
      </c>
      <c r="G78" s="11">
        <f>E78*2</f>
        <v>14</v>
      </c>
      <c r="H78" s="11">
        <v>0</v>
      </c>
      <c r="I78" s="19">
        <f t="shared" ref="I78:I86" si="28">SUM(G78:H78)</f>
        <v>14</v>
      </c>
      <c r="J78" s="10"/>
    </row>
    <row r="79" spans="1:10" ht="15">
      <c r="A79" s="10" t="s">
        <v>107</v>
      </c>
      <c r="B79" s="10" t="s">
        <v>95</v>
      </c>
      <c r="C79" s="10" t="s">
        <v>97</v>
      </c>
      <c r="D79" s="10" t="s">
        <v>2</v>
      </c>
      <c r="E79" s="10">
        <v>11</v>
      </c>
      <c r="F79" s="11">
        <f t="shared" si="27"/>
        <v>22</v>
      </c>
      <c r="G79" s="11">
        <f>E79*2</f>
        <v>22</v>
      </c>
      <c r="H79" s="11">
        <v>0</v>
      </c>
      <c r="I79" s="19">
        <f t="shared" si="28"/>
        <v>22</v>
      </c>
      <c r="J79" s="10"/>
    </row>
    <row r="80" spans="1:10" ht="15">
      <c r="A80" s="10" t="s">
        <v>107</v>
      </c>
      <c r="B80" s="10" t="s">
        <v>95</v>
      </c>
      <c r="C80" s="10" t="s">
        <v>98</v>
      </c>
      <c r="D80" s="10" t="s">
        <v>2</v>
      </c>
      <c r="E80" s="10">
        <v>12</v>
      </c>
      <c r="F80" s="11">
        <f>G80+H80</f>
        <v>12</v>
      </c>
      <c r="G80" s="11">
        <f>E80*1</f>
        <v>12</v>
      </c>
      <c r="H80" s="11">
        <v>0</v>
      </c>
      <c r="I80" s="19">
        <f t="shared" si="28"/>
        <v>12</v>
      </c>
      <c r="J80" s="10"/>
    </row>
    <row r="81" spans="1:10" ht="15">
      <c r="A81" s="10" t="s">
        <v>107</v>
      </c>
      <c r="B81" s="10" t="s">
        <v>95</v>
      </c>
      <c r="C81" s="10" t="s">
        <v>99</v>
      </c>
      <c r="D81" s="10" t="s">
        <v>2</v>
      </c>
      <c r="E81" s="10">
        <v>25</v>
      </c>
      <c r="F81" s="11">
        <f t="shared" si="27"/>
        <v>25</v>
      </c>
      <c r="G81" s="11">
        <f>E81*1</f>
        <v>25</v>
      </c>
      <c r="H81" s="11">
        <v>0</v>
      </c>
      <c r="I81" s="19">
        <f t="shared" si="28"/>
        <v>25</v>
      </c>
      <c r="J81" s="10"/>
    </row>
    <row r="82" spans="1:10" ht="15">
      <c r="A82" s="10" t="s">
        <v>107</v>
      </c>
      <c r="B82" s="10" t="s">
        <v>95</v>
      </c>
      <c r="C82" s="10" t="s">
        <v>100</v>
      </c>
      <c r="D82" s="10" t="s">
        <v>2</v>
      </c>
      <c r="E82" s="10">
        <v>18</v>
      </c>
      <c r="F82" s="11">
        <f t="shared" si="27"/>
        <v>18</v>
      </c>
      <c r="G82" s="11">
        <f>E82*1</f>
        <v>18</v>
      </c>
      <c r="H82" s="11">
        <v>0</v>
      </c>
      <c r="I82" s="19">
        <f t="shared" si="28"/>
        <v>18</v>
      </c>
      <c r="J82" s="10"/>
    </row>
    <row r="83" spans="1:10" ht="15">
      <c r="A83" s="10" t="s">
        <v>107</v>
      </c>
      <c r="B83" s="10" t="s">
        <v>95</v>
      </c>
      <c r="C83" s="10" t="s">
        <v>101</v>
      </c>
      <c r="D83" s="10" t="s">
        <v>2</v>
      </c>
      <c r="E83" s="10">
        <v>4</v>
      </c>
      <c r="F83" s="11">
        <f t="shared" si="27"/>
        <v>4</v>
      </c>
      <c r="G83" s="11">
        <f>E83*1</f>
        <v>4</v>
      </c>
      <c r="H83" s="11">
        <v>0</v>
      </c>
      <c r="I83" s="19">
        <f t="shared" si="28"/>
        <v>4</v>
      </c>
      <c r="J83" s="10"/>
    </row>
    <row r="84" spans="1:10" ht="15">
      <c r="A84" s="10" t="s">
        <v>107</v>
      </c>
      <c r="B84" s="10" t="s">
        <v>95</v>
      </c>
      <c r="C84" s="10" t="s">
        <v>102</v>
      </c>
      <c r="D84" s="10" t="s">
        <v>2</v>
      </c>
      <c r="E84" s="10">
        <v>4</v>
      </c>
      <c r="F84" s="11">
        <f t="shared" si="27"/>
        <v>4</v>
      </c>
      <c r="G84" s="11">
        <f>E84*1</f>
        <v>4</v>
      </c>
      <c r="H84" s="11">
        <v>0</v>
      </c>
      <c r="I84" s="19">
        <f t="shared" si="28"/>
        <v>4</v>
      </c>
      <c r="J84" s="10"/>
    </row>
    <row r="85" spans="1:10" ht="15">
      <c r="A85" s="10" t="s">
        <v>107</v>
      </c>
      <c r="B85" s="10" t="s">
        <v>95</v>
      </c>
      <c r="C85" s="10" t="s">
        <v>103</v>
      </c>
      <c r="D85" s="10" t="s">
        <v>2</v>
      </c>
      <c r="E85" s="10">
        <v>10</v>
      </c>
      <c r="F85" s="11">
        <f t="shared" si="27"/>
        <v>10</v>
      </c>
      <c r="G85" s="11">
        <f>E85*1</f>
        <v>10</v>
      </c>
      <c r="H85" s="11">
        <v>0</v>
      </c>
      <c r="I85" s="19">
        <f t="shared" si="28"/>
        <v>10</v>
      </c>
      <c r="J85" s="10"/>
    </row>
    <row r="86" spans="1:10" ht="15">
      <c r="A86" s="10" t="s">
        <v>107</v>
      </c>
      <c r="B86" s="10" t="s">
        <v>95</v>
      </c>
      <c r="C86" s="10" t="s">
        <v>104</v>
      </c>
      <c r="D86" s="10" t="s">
        <v>2</v>
      </c>
      <c r="E86" s="10">
        <f>16+4</f>
        <v>20</v>
      </c>
      <c r="F86" s="11">
        <f>G86+H86</f>
        <v>20</v>
      </c>
      <c r="G86" s="11">
        <f>E86*1</f>
        <v>20</v>
      </c>
      <c r="H86" s="11">
        <v>0</v>
      </c>
      <c r="I86" s="19">
        <f t="shared" si="28"/>
        <v>20</v>
      </c>
      <c r="J86" s="10"/>
    </row>
    <row r="87" spans="1:10" ht="15">
      <c r="A87" s="13" t="s">
        <v>107</v>
      </c>
      <c r="B87" s="13" t="s">
        <v>95</v>
      </c>
      <c r="C87" s="13" t="s">
        <v>16</v>
      </c>
      <c r="D87" s="13" t="s">
        <v>17</v>
      </c>
      <c r="E87" s="13">
        <f>SUM(E78:E86)</f>
        <v>111</v>
      </c>
      <c r="F87" s="14">
        <f>SUM(F78:F86)</f>
        <v>129</v>
      </c>
      <c r="G87" s="14">
        <f>SUM(G78:G86)</f>
        <v>129</v>
      </c>
      <c r="H87" s="14">
        <v>0</v>
      </c>
      <c r="I87" s="14">
        <f>SUM(I78:I86)</f>
        <v>129</v>
      </c>
      <c r="J87" s="10"/>
    </row>
    <row r="88" spans="1:10" ht="15">
      <c r="A88" s="18" t="s">
        <v>107</v>
      </c>
      <c r="B88" s="4" t="s">
        <v>105</v>
      </c>
      <c r="C88" s="4" t="s">
        <v>106</v>
      </c>
      <c r="D88" s="4" t="s">
        <v>17</v>
      </c>
      <c r="E88" s="5">
        <f>SUM(E5+E14+E23+E37+E52+E58+E62+E65+E70+E73+E77+E87)</f>
        <v>4275</v>
      </c>
      <c r="F88" s="5">
        <f>SUM(F5+F14+F23+F37+F52+F58+F62+F65+F70+F73+F77+F87)</f>
        <v>121874.97</v>
      </c>
      <c r="G88" s="5">
        <f>SUM(G5+G14+G23+G37+G52+G58+G62+G65+G70+G73+G77+G87)</f>
        <v>121070.97</v>
      </c>
      <c r="H88" s="5">
        <f>SUM(H5+H14+H23+H37+H52+H58+H62+H65+H70+H73+H77+H87)</f>
        <v>804</v>
      </c>
      <c r="I88" s="5">
        <f>SUM(I5+I14+I23+I37+I52+I58+I62+I65+I70+I73+I77+I87)</f>
        <v>121754.97</v>
      </c>
      <c r="J88" s="10"/>
    </row>
    <row r="89" spans="1:10" ht="15">
      <c r="J89" s="10"/>
    </row>
    <row r="90" spans="1:10" ht="15">
      <c r="J9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93E7-B709-4987-81D3-F9F06EB78994}">
  <dimension ref="A3:B78"/>
  <sheetViews>
    <sheetView workbookViewId="0">
      <selection activeCell="A3" sqref="A3"/>
    </sheetView>
  </sheetViews>
  <sheetFormatPr defaultRowHeight="14.25"/>
  <cols>
    <col min="1" max="1" width="27.125" bestFit="1" customWidth="1"/>
    <col min="2" max="2" width="11.5" bestFit="1" customWidth="1"/>
    <col min="3" max="3" width="11.875" bestFit="1" customWidth="1"/>
    <col min="4" max="4" width="8.125" bestFit="1" customWidth="1"/>
    <col min="5" max="5" width="6.375" bestFit="1" customWidth="1"/>
    <col min="6" max="6" width="14.75" bestFit="1" customWidth="1"/>
    <col min="7" max="7" width="9" bestFit="1" customWidth="1"/>
    <col min="8" max="8" width="6.625" bestFit="1" customWidth="1"/>
    <col min="9" max="9" width="11.25" bestFit="1" customWidth="1"/>
    <col min="10" max="10" width="21.75" bestFit="1" customWidth="1"/>
    <col min="11" max="11" width="7.625" bestFit="1" customWidth="1"/>
    <col min="12" max="12" width="17.375" bestFit="1" customWidth="1"/>
    <col min="13" max="13" width="12.5" bestFit="1" customWidth="1"/>
    <col min="14" max="14" width="12.75" bestFit="1" customWidth="1"/>
    <col min="15" max="15" width="11.125" bestFit="1" customWidth="1"/>
    <col min="16" max="48" width="2.875" bestFit="1" customWidth="1"/>
    <col min="49" max="68" width="4" bestFit="1" customWidth="1"/>
    <col min="69" max="70" width="5.125" bestFit="1" customWidth="1"/>
    <col min="71" max="71" width="11.125" bestFit="1" customWidth="1"/>
    <col min="72" max="72" width="14.5" bestFit="1" customWidth="1"/>
    <col min="73" max="73" width="19.125" bestFit="1" customWidth="1"/>
    <col min="74" max="74" width="19.625" bestFit="1" customWidth="1"/>
    <col min="75" max="75" width="10.375" bestFit="1" customWidth="1"/>
    <col min="76" max="76" width="5.25" bestFit="1" customWidth="1"/>
    <col min="77" max="77" width="21.5" bestFit="1" customWidth="1"/>
    <col min="78" max="78" width="11.125" bestFit="1" customWidth="1"/>
  </cols>
  <sheetData>
    <row r="3" spans="1:2">
      <c r="A3" s="22" t="s">
        <v>2</v>
      </c>
      <c r="B3" t="s">
        <v>108</v>
      </c>
    </row>
    <row r="4" spans="1:2">
      <c r="A4" t="s">
        <v>96</v>
      </c>
      <c r="B4" s="23">
        <v>1</v>
      </c>
    </row>
    <row r="5" spans="1:2">
      <c r="A5" t="s">
        <v>92</v>
      </c>
      <c r="B5" s="23">
        <v>2</v>
      </c>
    </row>
    <row r="6" spans="1:2">
      <c r="A6" t="s">
        <v>101</v>
      </c>
      <c r="B6" s="23">
        <v>3</v>
      </c>
    </row>
    <row r="7" spans="1:2">
      <c r="A7" t="s">
        <v>73</v>
      </c>
      <c r="B7" s="23">
        <v>3</v>
      </c>
    </row>
    <row r="8" spans="1:2">
      <c r="A8" t="s">
        <v>102</v>
      </c>
      <c r="B8" s="23">
        <v>5</v>
      </c>
    </row>
    <row r="9" spans="1:2">
      <c r="A9" t="s">
        <v>74</v>
      </c>
      <c r="B9" s="23">
        <v>8</v>
      </c>
    </row>
    <row r="10" spans="1:2">
      <c r="A10" t="s">
        <v>59</v>
      </c>
      <c r="B10" s="23">
        <v>8</v>
      </c>
    </row>
    <row r="11" spans="1:2">
      <c r="A11" t="s">
        <v>103</v>
      </c>
      <c r="B11" s="23">
        <v>9</v>
      </c>
    </row>
    <row r="12" spans="1:2">
      <c r="A12" t="s">
        <v>78</v>
      </c>
      <c r="B12" s="23">
        <v>10</v>
      </c>
    </row>
    <row r="13" spans="1:2">
      <c r="A13" t="s">
        <v>72</v>
      </c>
      <c r="B13" s="23">
        <v>11</v>
      </c>
    </row>
    <row r="14" spans="1:2">
      <c r="A14" t="s">
        <v>97</v>
      </c>
      <c r="B14" s="23">
        <v>12</v>
      </c>
    </row>
    <row r="15" spans="1:2">
      <c r="A15" t="s">
        <v>68</v>
      </c>
      <c r="B15" s="23">
        <v>12</v>
      </c>
    </row>
    <row r="16" spans="1:2">
      <c r="A16" t="s">
        <v>98</v>
      </c>
      <c r="B16" s="23">
        <v>14</v>
      </c>
    </row>
    <row r="17" spans="1:2">
      <c r="A17" t="s">
        <v>99</v>
      </c>
      <c r="B17" s="23">
        <v>14</v>
      </c>
    </row>
    <row r="18" spans="1:2">
      <c r="A18" t="s">
        <v>93</v>
      </c>
      <c r="B18" s="23">
        <v>16</v>
      </c>
    </row>
    <row r="19" spans="1:2">
      <c r="A19" t="s">
        <v>53</v>
      </c>
      <c r="B19" s="23">
        <v>16</v>
      </c>
    </row>
    <row r="20" spans="1:2">
      <c r="A20" t="s">
        <v>23</v>
      </c>
      <c r="B20" s="23">
        <v>16</v>
      </c>
    </row>
    <row r="21" spans="1:2">
      <c r="A21" t="s">
        <v>85</v>
      </c>
      <c r="B21" s="23">
        <v>17</v>
      </c>
    </row>
    <row r="22" spans="1:2">
      <c r="A22" t="s">
        <v>66</v>
      </c>
      <c r="B22" s="23">
        <v>17</v>
      </c>
    </row>
    <row r="23" spans="1:2">
      <c r="A23" t="s">
        <v>86</v>
      </c>
      <c r="B23" s="23">
        <v>18</v>
      </c>
    </row>
    <row r="24" spans="1:2">
      <c r="A24" t="s">
        <v>77</v>
      </c>
      <c r="B24" s="23">
        <v>19</v>
      </c>
    </row>
    <row r="25" spans="1:2">
      <c r="A25" t="s">
        <v>58</v>
      </c>
      <c r="B25" s="23">
        <v>20</v>
      </c>
    </row>
    <row r="26" spans="1:2">
      <c r="A26" t="s">
        <v>25</v>
      </c>
      <c r="B26" s="23">
        <v>20</v>
      </c>
    </row>
    <row r="27" spans="1:2">
      <c r="A27" t="s">
        <v>84</v>
      </c>
      <c r="B27" s="23">
        <v>24</v>
      </c>
    </row>
    <row r="28" spans="1:2">
      <c r="A28" t="s">
        <v>89</v>
      </c>
      <c r="B28" s="23">
        <v>24</v>
      </c>
    </row>
    <row r="29" spans="1:2">
      <c r="A29" t="s">
        <v>57</v>
      </c>
      <c r="B29" s="23">
        <v>24</v>
      </c>
    </row>
    <row r="30" spans="1:2">
      <c r="A30" t="s">
        <v>100</v>
      </c>
      <c r="B30" s="23">
        <v>25</v>
      </c>
    </row>
    <row r="31" spans="1:2">
      <c r="A31" t="s">
        <v>56</v>
      </c>
      <c r="B31" s="23">
        <v>27</v>
      </c>
    </row>
    <row r="32" spans="1:2">
      <c r="A32" t="s">
        <v>52</v>
      </c>
      <c r="B32" s="23">
        <v>28</v>
      </c>
    </row>
    <row r="33" spans="1:2">
      <c r="A33" t="s">
        <v>67</v>
      </c>
      <c r="B33" s="23">
        <v>28</v>
      </c>
    </row>
    <row r="34" spans="1:2">
      <c r="A34" t="s">
        <v>24</v>
      </c>
      <c r="B34" s="23">
        <v>29</v>
      </c>
    </row>
    <row r="35" spans="1:2">
      <c r="A35" t="s">
        <v>65</v>
      </c>
      <c r="B35" s="23">
        <v>30</v>
      </c>
    </row>
    <row r="36" spans="1:2">
      <c r="A36" t="s">
        <v>15</v>
      </c>
      <c r="B36" s="23">
        <v>31</v>
      </c>
    </row>
    <row r="37" spans="1:2">
      <c r="A37" t="s">
        <v>62</v>
      </c>
      <c r="B37" s="23">
        <v>32</v>
      </c>
    </row>
    <row r="38" spans="1:2">
      <c r="A38" t="s">
        <v>81</v>
      </c>
      <c r="B38" s="23">
        <v>33</v>
      </c>
    </row>
    <row r="39" spans="1:2">
      <c r="A39" t="s">
        <v>104</v>
      </c>
      <c r="B39" s="23">
        <v>33</v>
      </c>
    </row>
    <row r="40" spans="1:2">
      <c r="A40" t="s">
        <v>60</v>
      </c>
      <c r="B40" s="23">
        <v>34</v>
      </c>
    </row>
    <row r="41" spans="1:2">
      <c r="A41" t="s">
        <v>80</v>
      </c>
      <c r="B41" s="23">
        <v>35</v>
      </c>
    </row>
    <row r="42" spans="1:2">
      <c r="A42" t="s">
        <v>35</v>
      </c>
      <c r="B42" s="23">
        <v>38</v>
      </c>
    </row>
    <row r="43" spans="1:2">
      <c r="A43" t="s">
        <v>26</v>
      </c>
      <c r="B43" s="23">
        <v>40</v>
      </c>
    </row>
    <row r="44" spans="1:2">
      <c r="A44" t="s">
        <v>64</v>
      </c>
      <c r="B44" s="23">
        <v>42</v>
      </c>
    </row>
    <row r="45" spans="1:2">
      <c r="A45" t="s">
        <v>22</v>
      </c>
      <c r="B45" s="23">
        <v>43</v>
      </c>
    </row>
    <row r="46" spans="1:2">
      <c r="A46" t="s">
        <v>88</v>
      </c>
      <c r="B46" s="23">
        <v>44</v>
      </c>
    </row>
    <row r="47" spans="1:2">
      <c r="A47" t="s">
        <v>34</v>
      </c>
      <c r="B47" s="23">
        <v>47</v>
      </c>
    </row>
    <row r="48" spans="1:2">
      <c r="A48" t="s">
        <v>70</v>
      </c>
      <c r="B48" s="23">
        <v>50</v>
      </c>
    </row>
    <row r="49" spans="1:2">
      <c r="A49" t="s">
        <v>71</v>
      </c>
      <c r="B49" s="23">
        <v>52</v>
      </c>
    </row>
    <row r="50" spans="1:2">
      <c r="A50" t="s">
        <v>61</v>
      </c>
      <c r="B50" s="23">
        <v>55</v>
      </c>
    </row>
    <row r="51" spans="1:2">
      <c r="A51" t="s">
        <v>51</v>
      </c>
      <c r="B51" s="23">
        <v>56</v>
      </c>
    </row>
    <row r="52" spans="1:2">
      <c r="A52" t="s">
        <v>31</v>
      </c>
      <c r="B52" s="23">
        <v>59</v>
      </c>
    </row>
    <row r="53" spans="1:2">
      <c r="A53" t="s">
        <v>20</v>
      </c>
      <c r="B53" s="23">
        <v>59</v>
      </c>
    </row>
    <row r="54" spans="1:2">
      <c r="A54" t="s">
        <v>32</v>
      </c>
      <c r="B54" s="23">
        <v>64</v>
      </c>
    </row>
    <row r="55" spans="1:2">
      <c r="A55" t="s">
        <v>91</v>
      </c>
      <c r="B55" s="23">
        <v>64</v>
      </c>
    </row>
    <row r="56" spans="1:2">
      <c r="A56" t="s">
        <v>46</v>
      </c>
      <c r="B56" s="23">
        <v>65</v>
      </c>
    </row>
    <row r="57" spans="1:2">
      <c r="A57" t="s">
        <v>40</v>
      </c>
      <c r="B57" s="23">
        <v>68</v>
      </c>
    </row>
    <row r="58" spans="1:2">
      <c r="A58" t="s">
        <v>48</v>
      </c>
      <c r="B58" s="23">
        <v>70</v>
      </c>
    </row>
    <row r="59" spans="1:2">
      <c r="A59" t="s">
        <v>63</v>
      </c>
      <c r="B59" s="23">
        <v>79</v>
      </c>
    </row>
    <row r="60" spans="1:2">
      <c r="A60" t="s">
        <v>43</v>
      </c>
      <c r="B60" s="23">
        <v>80</v>
      </c>
    </row>
    <row r="61" spans="1:2">
      <c r="A61" t="s">
        <v>44</v>
      </c>
      <c r="B61" s="23">
        <v>82</v>
      </c>
    </row>
    <row r="62" spans="1:2">
      <c r="A62" t="s">
        <v>83</v>
      </c>
      <c r="B62" s="23">
        <v>83</v>
      </c>
    </row>
    <row r="63" spans="1:2">
      <c r="A63" t="s">
        <v>33</v>
      </c>
      <c r="B63" s="23">
        <v>91</v>
      </c>
    </row>
    <row r="64" spans="1:2">
      <c r="A64" t="s">
        <v>14</v>
      </c>
      <c r="B64" s="23">
        <v>96</v>
      </c>
    </row>
    <row r="65" spans="1:2">
      <c r="A65" t="s">
        <v>30</v>
      </c>
      <c r="B65" s="23">
        <v>102</v>
      </c>
    </row>
    <row r="66" spans="1:2">
      <c r="A66" t="s">
        <v>55</v>
      </c>
      <c r="B66" s="23">
        <v>103</v>
      </c>
    </row>
    <row r="67" spans="1:2">
      <c r="A67" t="s">
        <v>76</v>
      </c>
      <c r="B67" s="23">
        <v>139</v>
      </c>
    </row>
    <row r="68" spans="1:2">
      <c r="A68" t="s">
        <v>38</v>
      </c>
      <c r="B68" s="23">
        <v>148</v>
      </c>
    </row>
    <row r="69" spans="1:2">
      <c r="A69" t="s">
        <v>50</v>
      </c>
      <c r="B69" s="23">
        <v>153</v>
      </c>
    </row>
    <row r="70" spans="1:2">
      <c r="A70" t="s">
        <v>21</v>
      </c>
      <c r="B70" s="23">
        <v>163</v>
      </c>
    </row>
    <row r="71" spans="1:2">
      <c r="A71" t="s">
        <v>37</v>
      </c>
      <c r="B71" s="23">
        <v>165</v>
      </c>
    </row>
    <row r="72" spans="1:2">
      <c r="A72" t="s">
        <v>19</v>
      </c>
      <c r="B72" s="23">
        <v>165</v>
      </c>
    </row>
    <row r="73" spans="1:2">
      <c r="A73" t="s">
        <v>41</v>
      </c>
      <c r="B73" s="23">
        <v>188</v>
      </c>
    </row>
    <row r="74" spans="1:2">
      <c r="A74" t="s">
        <v>28</v>
      </c>
      <c r="B74" s="23">
        <v>210</v>
      </c>
    </row>
    <row r="75" spans="1:2">
      <c r="A75" t="s">
        <v>29</v>
      </c>
      <c r="B75" s="23">
        <v>234</v>
      </c>
    </row>
    <row r="76" spans="1:2">
      <c r="A76" t="s">
        <v>47</v>
      </c>
      <c r="B76" s="23">
        <v>243</v>
      </c>
    </row>
    <row r="77" spans="1:2">
      <c r="A77" t="s">
        <v>12</v>
      </c>
      <c r="B77" s="23">
        <v>297</v>
      </c>
    </row>
    <row r="78" spans="1:2">
      <c r="A78" t="s">
        <v>106</v>
      </c>
      <c r="B78" s="23">
        <v>4445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zoomScaleNormal="100" zoomScaleSheetLayoutView="100" workbookViewId="0">
      <selection activeCell="J11" sqref="J11"/>
    </sheetView>
  </sheetViews>
  <sheetFormatPr defaultRowHeight="14.25" customHeight="1"/>
  <cols>
    <col min="1" max="1" width="9" customWidth="1"/>
    <col min="2" max="2" width="20.125" customWidth="1"/>
    <col min="3" max="3" width="28" customWidth="1"/>
    <col min="4" max="4" width="16" customWidth="1"/>
    <col min="5" max="5" width="10" customWidth="1"/>
    <col min="6" max="6" width="14" customWidth="1"/>
    <col min="7" max="7" width="16" customWidth="1"/>
    <col min="8" max="8" width="18" customWidth="1"/>
    <col min="9" max="9" width="14" customWidth="1"/>
    <col min="10" max="10" width="64.875" customWidth="1"/>
    <col min="11" max="11" width="12" customWidth="1"/>
    <col min="12" max="12" width="10" customWidth="1"/>
  </cols>
  <sheetData>
    <row r="1" spans="1:12" ht="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6" t="s">
        <v>9</v>
      </c>
      <c r="K1" s="8"/>
      <c r="L1" s="8"/>
    </row>
    <row r="2" spans="1:12" ht="15">
      <c r="A2" s="10" t="s">
        <v>109</v>
      </c>
      <c r="B2" s="10" t="s">
        <v>11</v>
      </c>
      <c r="C2" s="10" t="s">
        <v>12</v>
      </c>
      <c r="D2" s="10" t="s">
        <v>2</v>
      </c>
      <c r="E2" s="10">
        <v>297</v>
      </c>
      <c r="F2" s="11">
        <f>G2+H2</f>
        <v>32426</v>
      </c>
      <c r="G2" s="11">
        <f>E2*108</f>
        <v>32076</v>
      </c>
      <c r="H2" s="11">
        <v>350</v>
      </c>
      <c r="I2" s="19">
        <f>SUM(G2:H2)</f>
        <v>32426</v>
      </c>
      <c r="J2" s="10"/>
      <c r="K2" s="6"/>
      <c r="L2" s="2"/>
    </row>
    <row r="3" spans="1:12" ht="15">
      <c r="A3" s="10" t="s">
        <v>109</v>
      </c>
      <c r="B3" s="10" t="s">
        <v>11</v>
      </c>
      <c r="C3" s="10" t="s">
        <v>14</v>
      </c>
      <c r="D3" s="10" t="s">
        <v>2</v>
      </c>
      <c r="E3" s="10">
        <v>96</v>
      </c>
      <c r="F3" s="11">
        <f t="shared" ref="F3:F4" si="0">G3+H3</f>
        <v>19158</v>
      </c>
      <c r="G3" s="11">
        <f>E3*198</f>
        <v>19008</v>
      </c>
      <c r="H3" s="11">
        <v>150</v>
      </c>
      <c r="I3" s="19">
        <f t="shared" ref="I3:I4" si="1">SUM(G3:H3)</f>
        <v>19158</v>
      </c>
      <c r="J3" s="10"/>
      <c r="K3" s="6"/>
      <c r="L3" s="2"/>
    </row>
    <row r="4" spans="1:12" ht="15">
      <c r="A4" s="10" t="s">
        <v>109</v>
      </c>
      <c r="B4" s="10" t="s">
        <v>11</v>
      </c>
      <c r="C4" s="10" t="s">
        <v>15</v>
      </c>
      <c r="D4" s="10" t="s">
        <v>2</v>
      </c>
      <c r="E4" s="10">
        <v>31</v>
      </c>
      <c r="F4" s="11">
        <f t="shared" si="0"/>
        <v>9288</v>
      </c>
      <c r="G4" s="11">
        <f>E4*298</f>
        <v>9238</v>
      </c>
      <c r="H4" s="11">
        <v>50</v>
      </c>
      <c r="I4" s="19">
        <f t="shared" si="1"/>
        <v>9288</v>
      </c>
      <c r="J4" s="10"/>
      <c r="K4" s="6"/>
      <c r="L4" s="2"/>
    </row>
    <row r="5" spans="1:12" ht="15">
      <c r="A5" s="13" t="s">
        <v>109</v>
      </c>
      <c r="B5" s="13" t="s">
        <v>11</v>
      </c>
      <c r="C5" s="13" t="s">
        <v>16</v>
      </c>
      <c r="D5" s="13" t="s">
        <v>17</v>
      </c>
      <c r="E5" s="13">
        <f>SUM(E2:E4)</f>
        <v>424</v>
      </c>
      <c r="F5" s="14">
        <f>SUM(F2:F4)</f>
        <v>60872</v>
      </c>
      <c r="G5" s="14">
        <f>SUM(G2:G4)</f>
        <v>60322</v>
      </c>
      <c r="H5" s="14">
        <f>SUM(H2:H4)</f>
        <v>550</v>
      </c>
      <c r="I5" s="14">
        <f>SUM(I2:I4)</f>
        <v>60872</v>
      </c>
      <c r="J5" s="10"/>
      <c r="K5" s="6"/>
      <c r="L5" s="2"/>
    </row>
    <row r="6" spans="1:12" ht="15">
      <c r="A6" s="10" t="s">
        <v>109</v>
      </c>
      <c r="B6" s="10" t="s">
        <v>18</v>
      </c>
      <c r="C6" s="10" t="s">
        <v>19</v>
      </c>
      <c r="D6" s="10" t="s">
        <v>2</v>
      </c>
      <c r="E6" s="10">
        <v>165</v>
      </c>
      <c r="F6" s="11">
        <f t="shared" ref="F6:F13" si="2">G6+H6</f>
        <v>5940</v>
      </c>
      <c r="G6" s="11">
        <f>E6*36</f>
        <v>5940</v>
      </c>
      <c r="H6" s="11">
        <v>0</v>
      </c>
      <c r="I6" s="19">
        <f t="shared" ref="I6:I13" si="3">SUM(G6:H6)</f>
        <v>5940</v>
      </c>
      <c r="J6" s="10"/>
      <c r="K6" s="6"/>
      <c r="L6" s="2"/>
    </row>
    <row r="7" spans="1:12" ht="15">
      <c r="A7" s="10" t="s">
        <v>109</v>
      </c>
      <c r="B7" s="10" t="s">
        <v>18</v>
      </c>
      <c r="C7" s="10" t="s">
        <v>20</v>
      </c>
      <c r="D7" s="10" t="s">
        <v>2</v>
      </c>
      <c r="E7" s="10">
        <v>59</v>
      </c>
      <c r="F7" s="11">
        <f t="shared" si="2"/>
        <v>3245</v>
      </c>
      <c r="G7" s="11">
        <f>E7*55</f>
        <v>3245</v>
      </c>
      <c r="H7" s="11">
        <v>0</v>
      </c>
      <c r="I7" s="19">
        <f t="shared" si="3"/>
        <v>3245</v>
      </c>
      <c r="J7" s="10"/>
      <c r="K7" s="6"/>
      <c r="L7" s="2"/>
    </row>
    <row r="8" spans="1:12" ht="15">
      <c r="A8" s="10" t="s">
        <v>109</v>
      </c>
      <c r="B8" s="10" t="s">
        <v>18</v>
      </c>
      <c r="C8" s="10" t="s">
        <v>21</v>
      </c>
      <c r="D8" s="10" t="s">
        <v>2</v>
      </c>
      <c r="E8" s="10">
        <v>163</v>
      </c>
      <c r="F8" s="11">
        <f t="shared" si="2"/>
        <v>7661</v>
      </c>
      <c r="G8" s="11">
        <f>E8*47</f>
        <v>7661</v>
      </c>
      <c r="H8" s="11">
        <v>0</v>
      </c>
      <c r="I8" s="19">
        <f t="shared" si="3"/>
        <v>7661</v>
      </c>
      <c r="J8" s="10"/>
      <c r="K8" s="6"/>
      <c r="L8" s="2"/>
    </row>
    <row r="9" spans="1:12" ht="15">
      <c r="A9" s="10" t="s">
        <v>109</v>
      </c>
      <c r="B9" s="10" t="s">
        <v>18</v>
      </c>
      <c r="C9" s="10" t="s">
        <v>22</v>
      </c>
      <c r="D9" s="10" t="s">
        <v>2</v>
      </c>
      <c r="E9" s="10">
        <v>43</v>
      </c>
      <c r="F9" s="11">
        <f t="shared" si="2"/>
        <v>1548</v>
      </c>
      <c r="G9" s="11">
        <f>E9*36</f>
        <v>1548</v>
      </c>
      <c r="H9" s="11">
        <v>0</v>
      </c>
      <c r="I9" s="19">
        <f t="shared" si="3"/>
        <v>1548</v>
      </c>
      <c r="J9" s="10"/>
      <c r="K9" s="6"/>
      <c r="L9" s="2"/>
    </row>
    <row r="10" spans="1:12" ht="15">
      <c r="A10" s="10" t="s">
        <v>109</v>
      </c>
      <c r="B10" s="10" t="s">
        <v>18</v>
      </c>
      <c r="C10" s="10" t="s">
        <v>23</v>
      </c>
      <c r="D10" s="10" t="s">
        <v>2</v>
      </c>
      <c r="E10" s="10">
        <v>16</v>
      </c>
      <c r="F10" s="11">
        <f>G10+H10</f>
        <v>400</v>
      </c>
      <c r="G10" s="11">
        <f>E10*25</f>
        <v>400</v>
      </c>
      <c r="H10" s="11">
        <v>0</v>
      </c>
      <c r="I10" s="19">
        <f t="shared" si="3"/>
        <v>400</v>
      </c>
      <c r="J10" s="10"/>
      <c r="K10" s="6"/>
      <c r="L10" s="2"/>
    </row>
    <row r="11" spans="1:12" ht="15">
      <c r="A11" s="10" t="s">
        <v>109</v>
      </c>
      <c r="B11" s="10" t="s">
        <v>18</v>
      </c>
      <c r="C11" s="10" t="s">
        <v>24</v>
      </c>
      <c r="D11" s="10" t="s">
        <v>2</v>
      </c>
      <c r="E11" s="10">
        <v>29</v>
      </c>
      <c r="F11" s="11">
        <f t="shared" si="2"/>
        <v>1015</v>
      </c>
      <c r="G11" s="11">
        <f>E11*35</f>
        <v>1015</v>
      </c>
      <c r="H11" s="11">
        <v>0</v>
      </c>
      <c r="I11" s="19">
        <f t="shared" si="3"/>
        <v>1015</v>
      </c>
      <c r="J11" s="10"/>
      <c r="K11" s="6"/>
      <c r="L11" s="2"/>
    </row>
    <row r="12" spans="1:12" ht="15">
      <c r="A12" s="10" t="s">
        <v>109</v>
      </c>
      <c r="B12" s="10" t="s">
        <v>18</v>
      </c>
      <c r="C12" s="10" t="s">
        <v>25</v>
      </c>
      <c r="D12" s="10" t="s">
        <v>2</v>
      </c>
      <c r="E12" s="10">
        <v>20</v>
      </c>
      <c r="F12" s="11">
        <f t="shared" si="2"/>
        <v>400</v>
      </c>
      <c r="G12" s="11">
        <f>E12*20</f>
        <v>400</v>
      </c>
      <c r="H12" s="11">
        <v>0</v>
      </c>
      <c r="I12" s="19">
        <f t="shared" si="3"/>
        <v>400</v>
      </c>
      <c r="J12" s="10"/>
      <c r="K12" s="6"/>
      <c r="L12" s="2"/>
    </row>
    <row r="13" spans="1:12" ht="15">
      <c r="A13" s="10" t="s">
        <v>109</v>
      </c>
      <c r="B13" s="10" t="s">
        <v>18</v>
      </c>
      <c r="C13" s="10" t="s">
        <v>26</v>
      </c>
      <c r="D13" s="10" t="s">
        <v>2</v>
      </c>
      <c r="E13" s="10">
        <v>40</v>
      </c>
      <c r="F13" s="11">
        <f t="shared" si="2"/>
        <v>800</v>
      </c>
      <c r="G13" s="11">
        <f>E13*20</f>
        <v>800</v>
      </c>
      <c r="H13" s="11">
        <v>0</v>
      </c>
      <c r="I13" s="19">
        <f t="shared" si="3"/>
        <v>800</v>
      </c>
      <c r="J13" s="10"/>
      <c r="K13" s="6"/>
      <c r="L13" s="2"/>
    </row>
    <row r="14" spans="1:12" ht="15">
      <c r="A14" s="13" t="s">
        <v>109</v>
      </c>
      <c r="B14" s="13" t="s">
        <v>18</v>
      </c>
      <c r="C14" s="13" t="s">
        <v>16</v>
      </c>
      <c r="D14" s="13" t="s">
        <v>17</v>
      </c>
      <c r="E14" s="13">
        <f>SUM(E6:E13)</f>
        <v>535</v>
      </c>
      <c r="F14" s="14">
        <f>SUM(F6:F13)</f>
        <v>21009</v>
      </c>
      <c r="G14" s="14">
        <f>SUM(G6:G13)</f>
        <v>21009</v>
      </c>
      <c r="H14" s="14">
        <f>SUM(H6:H13)</f>
        <v>0</v>
      </c>
      <c r="I14" s="14">
        <f>SUM(I6:I13)</f>
        <v>21009</v>
      </c>
      <c r="J14" s="10"/>
      <c r="K14" s="6"/>
      <c r="L14" s="6"/>
    </row>
    <row r="15" spans="1:12" ht="15">
      <c r="A15" s="10" t="s">
        <v>109</v>
      </c>
      <c r="B15" s="10" t="s">
        <v>27</v>
      </c>
      <c r="C15" s="10" t="s">
        <v>28</v>
      </c>
      <c r="D15" s="10" t="s">
        <v>2</v>
      </c>
      <c r="E15" s="10">
        <v>210</v>
      </c>
      <c r="F15" s="11">
        <f>G15+H15</f>
        <v>4213.5</v>
      </c>
      <c r="G15" s="11">
        <f>E15*20</f>
        <v>4200</v>
      </c>
      <c r="H15" s="11">
        <v>13.5</v>
      </c>
      <c r="I15" s="19">
        <f t="shared" ref="I15:I22" si="4">SUM(G15:H15)</f>
        <v>4213.5</v>
      </c>
      <c r="J15" s="10"/>
      <c r="K15" s="6"/>
      <c r="L15" s="2"/>
    </row>
    <row r="16" spans="1:12" ht="15">
      <c r="A16" s="10" t="s">
        <v>109</v>
      </c>
      <c r="B16" s="10" t="s">
        <v>27</v>
      </c>
      <c r="C16" s="10" t="s">
        <v>29</v>
      </c>
      <c r="D16" s="10" t="s">
        <v>2</v>
      </c>
      <c r="E16" s="10">
        <v>234</v>
      </c>
      <c r="F16" s="11">
        <f>G16+H16</f>
        <v>5852.16</v>
      </c>
      <c r="G16" s="11">
        <f>E16*24.99</f>
        <v>5847.66</v>
      </c>
      <c r="H16" s="11">
        <v>4.5</v>
      </c>
      <c r="I16" s="19">
        <f t="shared" si="4"/>
        <v>5852.16</v>
      </c>
      <c r="J16" s="10"/>
      <c r="K16" s="6"/>
      <c r="L16" s="2"/>
    </row>
    <row r="17" spans="1:12" ht="15">
      <c r="A17" s="10" t="s">
        <v>109</v>
      </c>
      <c r="B17" s="10" t="s">
        <v>27</v>
      </c>
      <c r="C17" s="10" t="s">
        <v>30</v>
      </c>
      <c r="D17" s="10" t="s">
        <v>2</v>
      </c>
      <c r="E17" s="10">
        <v>102</v>
      </c>
      <c r="F17" s="11">
        <f t="shared" ref="F17:F24" si="5">G17+H17</f>
        <v>2244</v>
      </c>
      <c r="G17" s="11">
        <f>E17*22</f>
        <v>2244</v>
      </c>
      <c r="H17" s="11">
        <v>0</v>
      </c>
      <c r="I17" s="19">
        <f t="shared" si="4"/>
        <v>2244</v>
      </c>
      <c r="J17" s="10"/>
      <c r="K17" s="6"/>
      <c r="L17" s="2"/>
    </row>
    <row r="18" spans="1:12" ht="15">
      <c r="A18" s="10" t="s">
        <v>109</v>
      </c>
      <c r="B18" s="10" t="s">
        <v>27</v>
      </c>
      <c r="C18" s="10" t="s">
        <v>31</v>
      </c>
      <c r="D18" s="10" t="s">
        <v>2</v>
      </c>
      <c r="E18" s="10">
        <v>59</v>
      </c>
      <c r="F18" s="11">
        <f>G18+H18</f>
        <v>1298</v>
      </c>
      <c r="G18" s="11">
        <f>E18*22</f>
        <v>1298</v>
      </c>
      <c r="H18" s="11">
        <v>0</v>
      </c>
      <c r="I18" s="19">
        <f t="shared" si="4"/>
        <v>1298</v>
      </c>
      <c r="J18" s="10"/>
      <c r="K18" s="6"/>
      <c r="L18" s="2"/>
    </row>
    <row r="19" spans="1:12" ht="15">
      <c r="A19" s="10" t="s">
        <v>109</v>
      </c>
      <c r="B19" s="10" t="s">
        <v>27</v>
      </c>
      <c r="C19" s="10" t="s">
        <v>32</v>
      </c>
      <c r="D19" s="10" t="s">
        <v>2</v>
      </c>
      <c r="E19" s="10">
        <v>64</v>
      </c>
      <c r="F19" s="11">
        <f t="shared" si="5"/>
        <v>1280</v>
      </c>
      <c r="G19" s="11">
        <f>E19*20</f>
        <v>1280</v>
      </c>
      <c r="H19" s="11">
        <v>0</v>
      </c>
      <c r="I19" s="19">
        <f t="shared" si="4"/>
        <v>1280</v>
      </c>
      <c r="J19" s="10"/>
      <c r="K19" s="6"/>
      <c r="L19" s="2"/>
    </row>
    <row r="20" spans="1:12" ht="15">
      <c r="A20" s="10" t="s">
        <v>109</v>
      </c>
      <c r="B20" s="10" t="s">
        <v>27</v>
      </c>
      <c r="C20" s="10" t="s">
        <v>33</v>
      </c>
      <c r="D20" s="10" t="s">
        <v>2</v>
      </c>
      <c r="E20" s="10">
        <v>91</v>
      </c>
      <c r="F20" s="11">
        <f t="shared" si="5"/>
        <v>2002</v>
      </c>
      <c r="G20" s="11">
        <f>E20*22</f>
        <v>2002</v>
      </c>
      <c r="H20" s="11">
        <v>0</v>
      </c>
      <c r="I20" s="19">
        <f t="shared" si="4"/>
        <v>2002</v>
      </c>
      <c r="J20" s="10"/>
      <c r="K20" s="6"/>
      <c r="L20" s="2"/>
    </row>
    <row r="21" spans="1:12" ht="15">
      <c r="A21" s="10" t="s">
        <v>109</v>
      </c>
      <c r="B21" s="10" t="s">
        <v>27</v>
      </c>
      <c r="C21" s="10" t="s">
        <v>34</v>
      </c>
      <c r="D21" s="10" t="s">
        <v>2</v>
      </c>
      <c r="E21" s="10">
        <v>47</v>
      </c>
      <c r="F21" s="11">
        <f t="shared" si="5"/>
        <v>893</v>
      </c>
      <c r="G21" s="11">
        <f>E21*19</f>
        <v>893</v>
      </c>
      <c r="H21" s="11">
        <v>0</v>
      </c>
      <c r="I21" s="19">
        <f t="shared" si="4"/>
        <v>893</v>
      </c>
      <c r="J21" s="10"/>
      <c r="K21" s="6"/>
      <c r="L21" s="2"/>
    </row>
    <row r="22" spans="1:12" ht="15">
      <c r="A22" s="10" t="s">
        <v>109</v>
      </c>
      <c r="B22" s="10" t="s">
        <v>27</v>
      </c>
      <c r="C22" s="10" t="s">
        <v>35</v>
      </c>
      <c r="D22" s="10" t="s">
        <v>2</v>
      </c>
      <c r="E22" s="10">
        <v>38</v>
      </c>
      <c r="F22" s="11">
        <f t="shared" si="5"/>
        <v>722</v>
      </c>
      <c r="G22" s="11">
        <f>E22*19</f>
        <v>722</v>
      </c>
      <c r="H22" s="11">
        <v>0</v>
      </c>
      <c r="I22" s="19">
        <f t="shared" si="4"/>
        <v>722</v>
      </c>
      <c r="J22" s="10"/>
      <c r="K22" s="6"/>
      <c r="L22" s="2"/>
    </row>
    <row r="23" spans="1:12" ht="15">
      <c r="A23" s="13" t="s">
        <v>109</v>
      </c>
      <c r="B23" s="13" t="s">
        <v>27</v>
      </c>
      <c r="C23" s="13" t="s">
        <v>16</v>
      </c>
      <c r="D23" s="13" t="s">
        <v>17</v>
      </c>
      <c r="E23" s="13">
        <f>SUM(E15:E22)</f>
        <v>845</v>
      </c>
      <c r="F23" s="14">
        <f>SUM(F15:F22)</f>
        <v>18504.66</v>
      </c>
      <c r="G23" s="14">
        <f>SUM(G15:G22)</f>
        <v>18486.66</v>
      </c>
      <c r="H23" s="14">
        <f>SUM(H15:H22)</f>
        <v>18</v>
      </c>
      <c r="I23" s="14">
        <f>SUM(I15:I22)</f>
        <v>18504.66</v>
      </c>
      <c r="J23" s="10"/>
      <c r="K23" s="6"/>
      <c r="L23" s="2"/>
    </row>
    <row r="24" spans="1:12" ht="15">
      <c r="A24" s="10" t="s">
        <v>109</v>
      </c>
      <c r="B24" s="10" t="s">
        <v>36</v>
      </c>
      <c r="C24" s="10" t="s">
        <v>37</v>
      </c>
      <c r="D24" s="10" t="s">
        <v>2</v>
      </c>
      <c r="E24" s="10">
        <v>165</v>
      </c>
      <c r="F24" s="11">
        <f t="shared" ref="F24:F32" si="6">G24+H24</f>
        <v>1155</v>
      </c>
      <c r="G24" s="11">
        <f>E24*7</f>
        <v>1155</v>
      </c>
      <c r="H24" s="11">
        <v>0</v>
      </c>
      <c r="I24" s="19">
        <f t="shared" ref="I24:I32" si="7">SUM(G24:H24)</f>
        <v>1155</v>
      </c>
      <c r="J24" s="10"/>
      <c r="K24" s="6"/>
      <c r="L24" s="2"/>
    </row>
    <row r="25" spans="1:12" ht="15">
      <c r="A25" s="10" t="s">
        <v>109</v>
      </c>
      <c r="B25" s="10" t="s">
        <v>36</v>
      </c>
      <c r="C25" s="10" t="s">
        <v>38</v>
      </c>
      <c r="D25" s="10" t="s">
        <v>2</v>
      </c>
      <c r="E25" s="10">
        <v>148</v>
      </c>
      <c r="F25" s="11">
        <f t="shared" si="6"/>
        <v>1539</v>
      </c>
      <c r="G25" s="11">
        <v>1539</v>
      </c>
      <c r="H25" s="11">
        <v>0</v>
      </c>
      <c r="I25" s="19">
        <f t="shared" si="7"/>
        <v>1539</v>
      </c>
      <c r="J25" s="10" t="s">
        <v>39</v>
      </c>
      <c r="K25" s="6"/>
      <c r="L25" s="2"/>
    </row>
    <row r="26" spans="1:12" ht="15">
      <c r="A26" s="10" t="s">
        <v>109</v>
      </c>
      <c r="B26" s="10" t="s">
        <v>36</v>
      </c>
      <c r="C26" s="10" t="s">
        <v>40</v>
      </c>
      <c r="D26" s="10" t="s">
        <v>2</v>
      </c>
      <c r="E26" s="10">
        <v>68</v>
      </c>
      <c r="F26" s="11">
        <f t="shared" si="6"/>
        <v>476</v>
      </c>
      <c r="G26" s="11">
        <f>E26*7</f>
        <v>476</v>
      </c>
      <c r="H26" s="11">
        <v>0</v>
      </c>
      <c r="I26" s="19">
        <f t="shared" si="7"/>
        <v>476</v>
      </c>
      <c r="J26" s="10"/>
      <c r="K26" s="6"/>
      <c r="L26" s="2"/>
    </row>
    <row r="27" spans="1:12" ht="15">
      <c r="A27" s="10" t="s">
        <v>109</v>
      </c>
      <c r="B27" s="10" t="s">
        <v>36</v>
      </c>
      <c r="C27" s="10" t="s">
        <v>41</v>
      </c>
      <c r="D27" s="10" t="s">
        <v>2</v>
      </c>
      <c r="E27" s="10">
        <v>188</v>
      </c>
      <c r="F27" s="11">
        <f t="shared" si="6"/>
        <v>721</v>
      </c>
      <c r="G27" s="11">
        <f>E27*3.5</f>
        <v>658</v>
      </c>
      <c r="H27" s="11">
        <v>63</v>
      </c>
      <c r="I27" s="19">
        <f t="shared" si="7"/>
        <v>721</v>
      </c>
      <c r="J27" s="10" t="s">
        <v>42</v>
      </c>
      <c r="K27" s="6"/>
      <c r="L27" s="2"/>
    </row>
    <row r="28" spans="1:12" ht="15">
      <c r="A28" s="10" t="s">
        <v>109</v>
      </c>
      <c r="B28" s="10" t="s">
        <v>36</v>
      </c>
      <c r="C28" s="10" t="s">
        <v>43</v>
      </c>
      <c r="D28" s="10" t="s">
        <v>2</v>
      </c>
      <c r="E28" s="10">
        <v>80</v>
      </c>
      <c r="F28" s="11">
        <f t="shared" si="6"/>
        <v>560</v>
      </c>
      <c r="G28" s="11">
        <f>E28*7</f>
        <v>560</v>
      </c>
      <c r="H28" s="11">
        <v>0</v>
      </c>
      <c r="I28" s="19">
        <f t="shared" si="7"/>
        <v>560</v>
      </c>
      <c r="J28" s="10"/>
      <c r="K28" s="6"/>
      <c r="L28" s="2"/>
    </row>
    <row r="29" spans="1:12" ht="15">
      <c r="A29" s="10" t="s">
        <v>109</v>
      </c>
      <c r="B29" s="10" t="s">
        <v>36</v>
      </c>
      <c r="C29" s="10" t="s">
        <v>44</v>
      </c>
      <c r="D29" s="10" t="s">
        <v>2</v>
      </c>
      <c r="E29" s="10">
        <v>82</v>
      </c>
      <c r="F29" s="11">
        <f t="shared" si="6"/>
        <v>904</v>
      </c>
      <c r="G29" s="11">
        <f>633+271</f>
        <v>904</v>
      </c>
      <c r="H29" s="11">
        <v>0</v>
      </c>
      <c r="I29" s="19">
        <f t="shared" si="7"/>
        <v>904</v>
      </c>
      <c r="J29" s="10" t="s">
        <v>45</v>
      </c>
      <c r="K29" s="6"/>
      <c r="L29" s="2"/>
    </row>
    <row r="30" spans="1:12" ht="15">
      <c r="A30" s="10" t="s">
        <v>109</v>
      </c>
      <c r="B30" s="10" t="s">
        <v>36</v>
      </c>
      <c r="C30" s="10" t="s">
        <v>46</v>
      </c>
      <c r="D30" s="10" t="s">
        <v>2</v>
      </c>
      <c r="E30" s="10">
        <v>65</v>
      </c>
      <c r="F30" s="11">
        <f>G30+H30</f>
        <v>241.5</v>
      </c>
      <c r="G30" s="11">
        <f>E30*3.5</f>
        <v>227.5</v>
      </c>
      <c r="H30" s="11">
        <v>14</v>
      </c>
      <c r="I30" s="19">
        <f t="shared" si="7"/>
        <v>241.5</v>
      </c>
      <c r="J30" s="10"/>
      <c r="K30" s="6"/>
      <c r="L30" s="2"/>
    </row>
    <row r="31" spans="1:12" ht="15">
      <c r="A31" s="10" t="s">
        <v>109</v>
      </c>
      <c r="B31" s="10" t="s">
        <v>36</v>
      </c>
      <c r="C31" s="10" t="s">
        <v>47</v>
      </c>
      <c r="D31" s="10" t="s">
        <v>2</v>
      </c>
      <c r="E31" s="10">
        <v>243</v>
      </c>
      <c r="F31" s="11">
        <f t="shared" si="6"/>
        <v>917</v>
      </c>
      <c r="G31" s="11">
        <f>E31*3.5</f>
        <v>850.5</v>
      </c>
      <c r="H31" s="11">
        <v>66.5</v>
      </c>
      <c r="I31" s="19">
        <f t="shared" si="7"/>
        <v>917</v>
      </c>
      <c r="J31" s="10"/>
      <c r="K31" s="6"/>
      <c r="L31" s="2"/>
    </row>
    <row r="32" spans="1:12" ht="15">
      <c r="A32" s="10" t="s">
        <v>109</v>
      </c>
      <c r="B32" s="10" t="s">
        <v>36</v>
      </c>
      <c r="C32" s="10" t="s">
        <v>48</v>
      </c>
      <c r="D32" s="10" t="s">
        <v>2</v>
      </c>
      <c r="E32" s="10">
        <f>53+17</f>
        <v>70</v>
      </c>
      <c r="F32" s="11">
        <f t="shared" si="6"/>
        <v>252</v>
      </c>
      <c r="G32" s="11">
        <f>E32*3.5</f>
        <v>245</v>
      </c>
      <c r="H32" s="11">
        <v>7</v>
      </c>
      <c r="I32" s="19">
        <f t="shared" si="7"/>
        <v>252</v>
      </c>
      <c r="J32" s="10" t="s">
        <v>49</v>
      </c>
      <c r="K32" s="6"/>
      <c r="L32" s="2"/>
    </row>
    <row r="33" spans="1:12" ht="15">
      <c r="A33" s="10" t="s">
        <v>109</v>
      </c>
      <c r="B33" s="10" t="s">
        <v>36</v>
      </c>
      <c r="C33" s="10" t="s">
        <v>50</v>
      </c>
      <c r="D33" s="10" t="s">
        <v>2</v>
      </c>
      <c r="E33" s="10">
        <v>153</v>
      </c>
      <c r="F33" s="11">
        <f>G33+H33</f>
        <v>574</v>
      </c>
      <c r="G33" s="11">
        <f>E33*3.5</f>
        <v>535.5</v>
      </c>
      <c r="H33" s="11">
        <v>38.5</v>
      </c>
      <c r="I33" s="19">
        <f>SUM(G33:H33)</f>
        <v>574</v>
      </c>
      <c r="J33" s="10"/>
      <c r="K33" s="6"/>
      <c r="L33" s="2"/>
    </row>
    <row r="34" spans="1:12" ht="15">
      <c r="A34" s="10" t="s">
        <v>109</v>
      </c>
      <c r="B34" s="10" t="s">
        <v>36</v>
      </c>
      <c r="C34" s="10" t="s">
        <v>51</v>
      </c>
      <c r="D34" s="10" t="s">
        <v>2</v>
      </c>
      <c r="E34" s="10">
        <f>30+26</f>
        <v>56</v>
      </c>
      <c r="F34" s="11">
        <f>G34+H34</f>
        <v>224</v>
      </c>
      <c r="G34" s="11">
        <f>E34*4</f>
        <v>224</v>
      </c>
      <c r="H34" s="11">
        <v>0</v>
      </c>
      <c r="I34" s="19">
        <f>SUM(G34:H34)</f>
        <v>224</v>
      </c>
      <c r="J34" s="10"/>
      <c r="K34" s="6"/>
      <c r="L34" s="2"/>
    </row>
    <row r="35" spans="1:12" ht="15">
      <c r="A35" s="10" t="s">
        <v>109</v>
      </c>
      <c r="B35" s="10" t="s">
        <v>36</v>
      </c>
      <c r="C35" s="10" t="s">
        <v>52</v>
      </c>
      <c r="D35" s="10" t="s">
        <v>2</v>
      </c>
      <c r="E35" s="10">
        <f>10+8+7+2+1</f>
        <v>28</v>
      </c>
      <c r="F35" s="11">
        <f>G35+H35</f>
        <v>126</v>
      </c>
      <c r="G35" s="11">
        <f>E35*4.5</f>
        <v>126</v>
      </c>
      <c r="H35" s="11">
        <v>0</v>
      </c>
      <c r="I35" s="19">
        <f>SUM(G35:H35)</f>
        <v>126</v>
      </c>
      <c r="J35" s="10"/>
      <c r="K35" s="6"/>
      <c r="L35" s="2"/>
    </row>
    <row r="36" spans="1:12" ht="15">
      <c r="A36" s="10" t="s">
        <v>109</v>
      </c>
      <c r="B36" s="10" t="s">
        <v>36</v>
      </c>
      <c r="C36" s="10" t="s">
        <v>53</v>
      </c>
      <c r="D36" s="10" t="s">
        <v>2</v>
      </c>
      <c r="E36" s="10">
        <v>16</v>
      </c>
      <c r="F36" s="11">
        <f>G36+H36</f>
        <v>56</v>
      </c>
      <c r="G36" s="11">
        <f>E36*3.5</f>
        <v>56</v>
      </c>
      <c r="H36" s="11">
        <v>0</v>
      </c>
      <c r="I36" s="19">
        <f>SUM(G36:H36)</f>
        <v>56</v>
      </c>
      <c r="J36" s="10"/>
      <c r="K36" s="6"/>
      <c r="L36" s="2"/>
    </row>
    <row r="37" spans="1:12" ht="15">
      <c r="A37" s="13" t="s">
        <v>109</v>
      </c>
      <c r="B37" s="13" t="s">
        <v>36</v>
      </c>
      <c r="C37" s="13" t="s">
        <v>16</v>
      </c>
      <c r="D37" s="13" t="s">
        <v>17</v>
      </c>
      <c r="E37" s="13">
        <f>SUM(E24:E36)</f>
        <v>1362</v>
      </c>
      <c r="F37" s="14">
        <f>SUM(F24:F36)</f>
        <v>7745.5</v>
      </c>
      <c r="G37" s="14">
        <f>SUM(G24:G36)</f>
        <v>7556.5</v>
      </c>
      <c r="H37" s="14">
        <f>SUM(H24:H36)</f>
        <v>189</v>
      </c>
      <c r="I37" s="14">
        <f>SUM(I24:I36)</f>
        <v>7745.5</v>
      </c>
      <c r="J37" s="10"/>
      <c r="K37" s="6"/>
      <c r="L37" s="2"/>
    </row>
    <row r="38" spans="1:12" ht="15">
      <c r="A38" s="10" t="s">
        <v>109</v>
      </c>
      <c r="B38" s="10" t="s">
        <v>54</v>
      </c>
      <c r="C38" s="10" t="s">
        <v>55</v>
      </c>
      <c r="D38" s="10" t="s">
        <v>2</v>
      </c>
      <c r="E38" s="10">
        <v>103</v>
      </c>
      <c r="F38" s="11">
        <f t="shared" ref="F38:F48" si="8">G38+H38</f>
        <v>927</v>
      </c>
      <c r="G38" s="11">
        <f>E38*9</f>
        <v>927</v>
      </c>
      <c r="H38" s="11">
        <v>0</v>
      </c>
      <c r="I38" s="19">
        <f t="shared" ref="I38:I46" si="9">SUM(G38:H38)</f>
        <v>927</v>
      </c>
      <c r="J38" s="10"/>
      <c r="K38" s="6"/>
      <c r="L38" s="2"/>
    </row>
    <row r="39" spans="1:12" ht="15">
      <c r="A39" s="10" t="s">
        <v>109</v>
      </c>
      <c r="B39" s="10" t="s">
        <v>54</v>
      </c>
      <c r="C39" s="10" t="s">
        <v>56</v>
      </c>
      <c r="D39" s="10" t="s">
        <v>2</v>
      </c>
      <c r="E39" s="10">
        <v>27</v>
      </c>
      <c r="F39" s="11">
        <f t="shared" si="8"/>
        <v>243</v>
      </c>
      <c r="G39" s="11">
        <f>E39*9</f>
        <v>243</v>
      </c>
      <c r="H39" s="11">
        <v>0</v>
      </c>
      <c r="I39" s="19">
        <f t="shared" si="9"/>
        <v>243</v>
      </c>
      <c r="J39" s="10"/>
      <c r="K39" s="6"/>
      <c r="L39" s="2"/>
    </row>
    <row r="40" spans="1:12" ht="15">
      <c r="A40" s="10" t="s">
        <v>109</v>
      </c>
      <c r="B40" s="10" t="s">
        <v>54</v>
      </c>
      <c r="C40" s="10" t="s">
        <v>57</v>
      </c>
      <c r="D40" s="10" t="s">
        <v>2</v>
      </c>
      <c r="E40" s="10">
        <v>24</v>
      </c>
      <c r="F40" s="11">
        <f t="shared" si="8"/>
        <v>264</v>
      </c>
      <c r="G40" s="11">
        <f>E40*11</f>
        <v>264</v>
      </c>
      <c r="H40" s="11">
        <v>0</v>
      </c>
      <c r="I40" s="19">
        <f t="shared" si="9"/>
        <v>264</v>
      </c>
      <c r="J40" s="10"/>
      <c r="K40" s="6"/>
      <c r="L40" s="2"/>
    </row>
    <row r="41" spans="1:12" ht="15">
      <c r="A41" s="10" t="s">
        <v>109</v>
      </c>
      <c r="B41" s="10" t="s">
        <v>54</v>
      </c>
      <c r="C41" s="10" t="s">
        <v>58</v>
      </c>
      <c r="D41" s="10" t="s">
        <v>2</v>
      </c>
      <c r="E41" s="10">
        <v>20</v>
      </c>
      <c r="F41" s="11">
        <f t="shared" si="8"/>
        <v>140</v>
      </c>
      <c r="G41" s="11">
        <f>E41*7</f>
        <v>140</v>
      </c>
      <c r="H41" s="11">
        <v>0</v>
      </c>
      <c r="I41" s="19">
        <f t="shared" si="9"/>
        <v>140</v>
      </c>
      <c r="J41" s="10"/>
      <c r="K41" s="6"/>
      <c r="L41" s="2"/>
    </row>
    <row r="42" spans="1:12" ht="15">
      <c r="A42" s="10" t="s">
        <v>109</v>
      </c>
      <c r="B42" s="10" t="s">
        <v>54</v>
      </c>
      <c r="C42" s="10" t="s">
        <v>59</v>
      </c>
      <c r="D42" s="10" t="s">
        <v>2</v>
      </c>
      <c r="E42" s="10">
        <v>8</v>
      </c>
      <c r="F42" s="11">
        <f t="shared" si="8"/>
        <v>48</v>
      </c>
      <c r="G42" s="11">
        <f>E42*6</f>
        <v>48</v>
      </c>
      <c r="H42" s="11">
        <v>0</v>
      </c>
      <c r="I42" s="19">
        <f t="shared" si="9"/>
        <v>48</v>
      </c>
      <c r="J42" s="10"/>
      <c r="K42" s="6"/>
      <c r="L42" s="2"/>
    </row>
    <row r="43" spans="1:12" ht="15">
      <c r="A43" s="10" t="s">
        <v>109</v>
      </c>
      <c r="B43" s="10" t="s">
        <v>54</v>
      </c>
      <c r="C43" s="10" t="s">
        <v>60</v>
      </c>
      <c r="D43" s="10" t="s">
        <v>2</v>
      </c>
      <c r="E43" s="10">
        <v>34</v>
      </c>
      <c r="F43" s="11">
        <f t="shared" si="8"/>
        <v>204</v>
      </c>
      <c r="G43" s="11">
        <f>E43*6</f>
        <v>204</v>
      </c>
      <c r="H43" s="11">
        <v>0</v>
      </c>
      <c r="I43" s="19">
        <f t="shared" si="9"/>
        <v>204</v>
      </c>
      <c r="J43" s="10"/>
      <c r="K43" s="6"/>
      <c r="L43" s="2"/>
    </row>
    <row r="44" spans="1:12" ht="15">
      <c r="A44" s="10" t="s">
        <v>109</v>
      </c>
      <c r="B44" s="10" t="s">
        <v>54</v>
      </c>
      <c r="C44" s="10" t="s">
        <v>61</v>
      </c>
      <c r="D44" s="10" t="s">
        <v>2</v>
      </c>
      <c r="E44" s="10">
        <v>55</v>
      </c>
      <c r="F44" s="11">
        <f t="shared" si="8"/>
        <v>220</v>
      </c>
      <c r="G44" s="11">
        <f>E44*4</f>
        <v>220</v>
      </c>
      <c r="H44" s="11">
        <v>0</v>
      </c>
      <c r="I44" s="19">
        <f t="shared" si="9"/>
        <v>220</v>
      </c>
      <c r="J44" s="10"/>
      <c r="K44" s="6"/>
      <c r="L44" s="2"/>
    </row>
    <row r="45" spans="1:12" ht="15">
      <c r="A45" s="10" t="s">
        <v>109</v>
      </c>
      <c r="B45" s="10" t="s">
        <v>54</v>
      </c>
      <c r="C45" s="10" t="s">
        <v>62</v>
      </c>
      <c r="D45" s="10" t="s">
        <v>2</v>
      </c>
      <c r="E45" s="10">
        <v>32</v>
      </c>
      <c r="F45" s="11">
        <f t="shared" si="8"/>
        <v>256</v>
      </c>
      <c r="G45" s="11">
        <f>E45*8</f>
        <v>256</v>
      </c>
      <c r="H45" s="11">
        <v>0</v>
      </c>
      <c r="I45" s="19">
        <f t="shared" si="9"/>
        <v>256</v>
      </c>
      <c r="J45" s="10"/>
      <c r="K45" s="6"/>
      <c r="L45" s="2"/>
    </row>
    <row r="46" spans="1:12" ht="15">
      <c r="A46" s="10" t="s">
        <v>109</v>
      </c>
      <c r="B46" s="10" t="s">
        <v>54</v>
      </c>
      <c r="C46" s="10" t="s">
        <v>63</v>
      </c>
      <c r="D46" s="10" t="s">
        <v>2</v>
      </c>
      <c r="E46" s="10">
        <v>79</v>
      </c>
      <c r="F46" s="11">
        <f t="shared" si="8"/>
        <v>395</v>
      </c>
      <c r="G46" s="11">
        <f>E46*5</f>
        <v>395</v>
      </c>
      <c r="H46" s="11">
        <v>0</v>
      </c>
      <c r="I46" s="19">
        <f t="shared" si="9"/>
        <v>395</v>
      </c>
      <c r="J46" s="10"/>
      <c r="K46" s="6"/>
      <c r="L46" s="2"/>
    </row>
    <row r="47" spans="1:12" ht="15">
      <c r="A47" s="10" t="s">
        <v>109</v>
      </c>
      <c r="B47" s="10" t="s">
        <v>54</v>
      </c>
      <c r="C47" s="10" t="s">
        <v>64</v>
      </c>
      <c r="D47" s="10" t="s">
        <v>2</v>
      </c>
      <c r="E47" s="10">
        <v>42</v>
      </c>
      <c r="F47" s="11">
        <f t="shared" si="8"/>
        <v>504</v>
      </c>
      <c r="G47" s="11">
        <f>E47*12</f>
        <v>504</v>
      </c>
      <c r="H47" s="11">
        <v>0</v>
      </c>
      <c r="I47" s="19">
        <f>SUM(G47:H47)</f>
        <v>504</v>
      </c>
      <c r="J47" s="10"/>
      <c r="K47" s="6"/>
      <c r="L47" s="2"/>
    </row>
    <row r="48" spans="1:12" ht="15">
      <c r="A48" s="10" t="s">
        <v>109</v>
      </c>
      <c r="B48" s="10" t="s">
        <v>54</v>
      </c>
      <c r="C48" s="10" t="s">
        <v>65</v>
      </c>
      <c r="D48" s="10" t="s">
        <v>2</v>
      </c>
      <c r="E48" s="10">
        <v>30</v>
      </c>
      <c r="F48" s="11">
        <f t="shared" si="8"/>
        <v>210</v>
      </c>
      <c r="G48" s="11">
        <f>E48*7</f>
        <v>210</v>
      </c>
      <c r="H48" s="11">
        <v>0</v>
      </c>
      <c r="I48" s="19">
        <f>SUM(G48:H48)</f>
        <v>210</v>
      </c>
      <c r="J48" s="10"/>
      <c r="K48" s="6"/>
      <c r="L48" s="2"/>
    </row>
    <row r="49" spans="1:12" ht="15">
      <c r="A49" s="10" t="s">
        <v>109</v>
      </c>
      <c r="B49" s="10" t="s">
        <v>54</v>
      </c>
      <c r="C49" s="10" t="s">
        <v>66</v>
      </c>
      <c r="D49" s="10" t="s">
        <v>2</v>
      </c>
      <c r="E49" s="10">
        <v>17</v>
      </c>
      <c r="F49" s="11">
        <f>G49+H49</f>
        <v>102</v>
      </c>
      <c r="G49" s="11">
        <f>E49*6</f>
        <v>102</v>
      </c>
      <c r="H49" s="11">
        <v>0</v>
      </c>
      <c r="I49" s="11">
        <f>J49+K49</f>
        <v>0</v>
      </c>
      <c r="J49" s="10"/>
      <c r="K49" s="6"/>
      <c r="L49" s="2"/>
    </row>
    <row r="50" spans="1:12" ht="15">
      <c r="A50" s="10" t="s">
        <v>109</v>
      </c>
      <c r="B50" s="10" t="s">
        <v>54</v>
      </c>
      <c r="C50" s="10" t="s">
        <v>67</v>
      </c>
      <c r="D50" s="10" t="s">
        <v>2</v>
      </c>
      <c r="E50" s="10">
        <v>28</v>
      </c>
      <c r="F50" s="11">
        <f>G50+H50</f>
        <v>252</v>
      </c>
      <c r="G50" s="11">
        <f>E50*9</f>
        <v>252</v>
      </c>
      <c r="H50" s="11">
        <v>0</v>
      </c>
      <c r="I50" s="19">
        <f>SUM(G50:H50)</f>
        <v>252</v>
      </c>
      <c r="J50" s="10"/>
      <c r="K50" s="6"/>
      <c r="L50" s="2"/>
    </row>
    <row r="51" spans="1:12" ht="15">
      <c r="A51" s="10" t="s">
        <v>109</v>
      </c>
      <c r="B51" s="10" t="s">
        <v>54</v>
      </c>
      <c r="C51" s="10" t="s">
        <v>68</v>
      </c>
      <c r="D51" s="10" t="s">
        <v>2</v>
      </c>
      <c r="E51" s="10">
        <v>12</v>
      </c>
      <c r="F51" s="11">
        <f>G51+H51</f>
        <v>60</v>
      </c>
      <c r="G51" s="11">
        <f>E51*5</f>
        <v>60</v>
      </c>
      <c r="H51" s="11">
        <v>0</v>
      </c>
      <c r="I51" s="19">
        <f>SUM(G51:H51)</f>
        <v>60</v>
      </c>
      <c r="J51" s="10"/>
      <c r="K51" s="6"/>
      <c r="L51" s="2"/>
    </row>
    <row r="52" spans="1:12" ht="15">
      <c r="A52" s="13" t="s">
        <v>109</v>
      </c>
      <c r="B52" s="13" t="s">
        <v>54</v>
      </c>
      <c r="C52" s="13" t="s">
        <v>16</v>
      </c>
      <c r="D52" s="13" t="s">
        <v>17</v>
      </c>
      <c r="E52" s="13">
        <f>SUM(E38:E51)</f>
        <v>511</v>
      </c>
      <c r="F52" s="14">
        <f>SUM(F38:F51)</f>
        <v>3825</v>
      </c>
      <c r="G52" s="14">
        <f>SUM(G38:G51)</f>
        <v>3825</v>
      </c>
      <c r="H52" s="14">
        <v>0</v>
      </c>
      <c r="I52" s="14">
        <f>SUM(I38:I51)</f>
        <v>3723</v>
      </c>
      <c r="J52" s="10"/>
      <c r="K52" s="6"/>
      <c r="L52" s="2"/>
    </row>
    <row r="53" spans="1:12" ht="15">
      <c r="A53" s="10" t="s">
        <v>109</v>
      </c>
      <c r="B53" s="10" t="s">
        <v>69</v>
      </c>
      <c r="C53" s="10" t="s">
        <v>70</v>
      </c>
      <c r="D53" s="10" t="s">
        <v>2</v>
      </c>
      <c r="E53" s="10">
        <v>50</v>
      </c>
      <c r="F53" s="11">
        <f t="shared" ref="F53:F57" si="10">G53+H53</f>
        <v>950</v>
      </c>
      <c r="G53" s="11">
        <f>E53*19</f>
        <v>950</v>
      </c>
      <c r="H53" s="11">
        <v>0</v>
      </c>
      <c r="I53" s="19">
        <f t="shared" ref="I53:I54" si="11">SUM(G53:H53)</f>
        <v>950</v>
      </c>
      <c r="J53" s="10"/>
      <c r="K53" s="6"/>
      <c r="L53" s="2"/>
    </row>
    <row r="54" spans="1:12" ht="15">
      <c r="A54" s="10" t="s">
        <v>109</v>
      </c>
      <c r="B54" s="10" t="s">
        <v>69</v>
      </c>
      <c r="C54" s="10" t="s">
        <v>71</v>
      </c>
      <c r="D54" s="10" t="s">
        <v>2</v>
      </c>
      <c r="E54" s="10">
        <v>52</v>
      </c>
      <c r="F54" s="11">
        <f t="shared" si="10"/>
        <v>936</v>
      </c>
      <c r="G54" s="11">
        <f>E54*18</f>
        <v>936</v>
      </c>
      <c r="H54" s="11">
        <v>0</v>
      </c>
      <c r="I54" s="19">
        <f t="shared" si="11"/>
        <v>936</v>
      </c>
      <c r="J54" s="10"/>
      <c r="K54" s="6"/>
      <c r="L54" s="2"/>
    </row>
    <row r="55" spans="1:12" ht="15">
      <c r="A55" s="10" t="s">
        <v>109</v>
      </c>
      <c r="B55" s="10" t="s">
        <v>69</v>
      </c>
      <c r="C55" s="10" t="s">
        <v>72</v>
      </c>
      <c r="D55" s="10" t="s">
        <v>2</v>
      </c>
      <c r="E55" s="10">
        <v>11</v>
      </c>
      <c r="F55" s="11">
        <f t="shared" si="10"/>
        <v>176</v>
      </c>
      <c r="G55" s="11">
        <f>E55*16</f>
        <v>176</v>
      </c>
      <c r="H55" s="11">
        <v>0</v>
      </c>
      <c r="I55" s="19">
        <f>SUM(G55:H55)</f>
        <v>176</v>
      </c>
      <c r="J55" s="10"/>
      <c r="K55" s="6"/>
      <c r="L55" s="2"/>
    </row>
    <row r="56" spans="1:12" ht="15">
      <c r="A56" s="10" t="s">
        <v>109</v>
      </c>
      <c r="B56" s="10" t="s">
        <v>69</v>
      </c>
      <c r="C56" s="10" t="s">
        <v>73</v>
      </c>
      <c r="D56" s="10" t="s">
        <v>2</v>
      </c>
      <c r="E56" s="10">
        <v>3</v>
      </c>
      <c r="F56" s="11">
        <f t="shared" si="10"/>
        <v>36</v>
      </c>
      <c r="G56" s="11">
        <f>E56*12</f>
        <v>36</v>
      </c>
      <c r="H56" s="11">
        <v>0</v>
      </c>
      <c r="I56" s="19">
        <f>SUM(G56:H56)</f>
        <v>36</v>
      </c>
      <c r="J56" s="10"/>
      <c r="K56" s="6"/>
      <c r="L56" s="2"/>
    </row>
    <row r="57" spans="1:12" ht="15">
      <c r="A57" s="10" t="s">
        <v>109</v>
      </c>
      <c r="B57" s="10" t="s">
        <v>69</v>
      </c>
      <c r="C57" s="10" t="s">
        <v>74</v>
      </c>
      <c r="D57" s="10" t="s">
        <v>2</v>
      </c>
      <c r="E57" s="10">
        <v>8</v>
      </c>
      <c r="F57" s="11">
        <f t="shared" si="10"/>
        <v>152</v>
      </c>
      <c r="G57" s="11">
        <f>E57*19</f>
        <v>152</v>
      </c>
      <c r="H57" s="11">
        <v>0</v>
      </c>
      <c r="I57" s="19">
        <f>SUM(G57:H57)</f>
        <v>152</v>
      </c>
      <c r="J57" s="10"/>
      <c r="K57" s="6"/>
      <c r="L57" s="2"/>
    </row>
    <row r="58" spans="1:12" ht="15">
      <c r="A58" s="13" t="s">
        <v>109</v>
      </c>
      <c r="B58" s="13" t="s">
        <v>69</v>
      </c>
      <c r="C58" s="13" t="s">
        <v>16</v>
      </c>
      <c r="D58" s="13" t="s">
        <v>17</v>
      </c>
      <c r="E58" s="13">
        <f>SUM(E53:E57)</f>
        <v>124</v>
      </c>
      <c r="F58" s="14">
        <f>SUM(F53:F57)</f>
        <v>2250</v>
      </c>
      <c r="G58" s="14">
        <f>SUM(G53:G57)</f>
        <v>2250</v>
      </c>
      <c r="H58" s="14">
        <v>0</v>
      </c>
      <c r="I58" s="14">
        <f>SUM(I53:I57)</f>
        <v>2250</v>
      </c>
      <c r="J58" s="10"/>
      <c r="K58" s="12"/>
      <c r="L58" s="2"/>
    </row>
    <row r="59" spans="1:12" ht="15">
      <c r="A59" s="10" t="s">
        <v>109</v>
      </c>
      <c r="B59" s="10" t="s">
        <v>75</v>
      </c>
      <c r="C59" s="10" t="s">
        <v>76</v>
      </c>
      <c r="D59" s="10" t="s">
        <v>2</v>
      </c>
      <c r="E59" s="10">
        <v>139</v>
      </c>
      <c r="F59" s="11">
        <f t="shared" ref="F59:F61" si="12">G59+H59</f>
        <v>2502</v>
      </c>
      <c r="G59" s="11">
        <f>E59*18</f>
        <v>2502</v>
      </c>
      <c r="H59" s="11">
        <v>0</v>
      </c>
      <c r="I59" s="19">
        <f t="shared" ref="I59:I61" si="13">SUM(G59:H59)</f>
        <v>2502</v>
      </c>
      <c r="J59" s="10"/>
      <c r="K59" s="12"/>
      <c r="L59" s="2"/>
    </row>
    <row r="60" spans="1:12" ht="15">
      <c r="A60" s="10" t="s">
        <v>109</v>
      </c>
      <c r="B60" s="10" t="s">
        <v>75</v>
      </c>
      <c r="C60" s="10" t="s">
        <v>77</v>
      </c>
      <c r="D60" s="10" t="s">
        <v>2</v>
      </c>
      <c r="E60" s="10">
        <v>19</v>
      </c>
      <c r="F60" s="11">
        <f t="shared" si="12"/>
        <v>342</v>
      </c>
      <c r="G60" s="11">
        <f>E60*18</f>
        <v>342</v>
      </c>
      <c r="H60" s="11">
        <v>0</v>
      </c>
      <c r="I60" s="19">
        <f t="shared" si="13"/>
        <v>342</v>
      </c>
      <c r="J60" s="10"/>
      <c r="K60" s="6"/>
      <c r="L60" s="2"/>
    </row>
    <row r="61" spans="1:12" ht="15">
      <c r="A61" s="10" t="s">
        <v>109</v>
      </c>
      <c r="B61" s="10" t="s">
        <v>75</v>
      </c>
      <c r="C61" s="10" t="s">
        <v>78</v>
      </c>
      <c r="D61" s="10" t="s">
        <v>2</v>
      </c>
      <c r="E61" s="10">
        <v>10</v>
      </c>
      <c r="F61" s="11">
        <f t="shared" si="12"/>
        <v>180</v>
      </c>
      <c r="G61" s="11">
        <f>E61*18</f>
        <v>180</v>
      </c>
      <c r="H61" s="11">
        <v>0</v>
      </c>
      <c r="I61" s="19">
        <f t="shared" si="13"/>
        <v>180</v>
      </c>
      <c r="J61" s="10"/>
      <c r="K61" s="6"/>
      <c r="L61" s="2"/>
    </row>
    <row r="62" spans="1:12" ht="15">
      <c r="A62" s="13" t="s">
        <v>109</v>
      </c>
      <c r="B62" s="13" t="s">
        <v>75</v>
      </c>
      <c r="C62" s="13" t="s">
        <v>16</v>
      </c>
      <c r="D62" s="13" t="s">
        <v>17</v>
      </c>
      <c r="E62" s="13">
        <f>SUM(E59:E61)</f>
        <v>168</v>
      </c>
      <c r="F62" s="14">
        <f>SUM(F59:F61)</f>
        <v>3024</v>
      </c>
      <c r="G62" s="14">
        <f>SUM(G59:G61)</f>
        <v>3024</v>
      </c>
      <c r="H62" s="14">
        <v>0</v>
      </c>
      <c r="I62" s="14">
        <f>SUM(I59:I61)</f>
        <v>3024</v>
      </c>
      <c r="J62" s="10"/>
      <c r="K62" s="6"/>
      <c r="L62" s="2"/>
    </row>
    <row r="63" spans="1:12" ht="15">
      <c r="A63" s="10" t="s">
        <v>109</v>
      </c>
      <c r="B63" s="10" t="s">
        <v>79</v>
      </c>
      <c r="C63" s="10" t="s">
        <v>80</v>
      </c>
      <c r="D63" s="10" t="s">
        <v>2</v>
      </c>
      <c r="E63" s="10">
        <v>35</v>
      </c>
      <c r="F63" s="11">
        <f t="shared" ref="F63:F64" si="14">G63+H63</f>
        <v>630</v>
      </c>
      <c r="G63" s="11">
        <f>E63*18</f>
        <v>630</v>
      </c>
      <c r="H63" s="11">
        <v>0</v>
      </c>
      <c r="I63" s="19">
        <f t="shared" ref="I63:I64" si="15">SUM(G63:H63)</f>
        <v>630</v>
      </c>
      <c r="J63" s="10"/>
      <c r="K63" s="6"/>
      <c r="L63" s="2"/>
    </row>
    <row r="64" spans="1:12" ht="15">
      <c r="A64" s="10" t="s">
        <v>109</v>
      </c>
      <c r="B64" s="10" t="s">
        <v>79</v>
      </c>
      <c r="C64" s="10" t="s">
        <v>81</v>
      </c>
      <c r="D64" s="10" t="s">
        <v>2</v>
      </c>
      <c r="E64" s="10">
        <v>33</v>
      </c>
      <c r="F64" s="11">
        <f t="shared" si="14"/>
        <v>594</v>
      </c>
      <c r="G64" s="11">
        <f>E64*18</f>
        <v>594</v>
      </c>
      <c r="H64" s="11">
        <v>0</v>
      </c>
      <c r="I64" s="19">
        <f t="shared" si="15"/>
        <v>594</v>
      </c>
      <c r="J64" s="10"/>
      <c r="K64" s="6"/>
      <c r="L64" s="2"/>
    </row>
    <row r="65" spans="1:12" ht="15">
      <c r="A65" s="13" t="s">
        <v>109</v>
      </c>
      <c r="B65" s="13" t="s">
        <v>79</v>
      </c>
      <c r="C65" s="13" t="s">
        <v>16</v>
      </c>
      <c r="D65" s="13" t="s">
        <v>17</v>
      </c>
      <c r="E65" s="13">
        <f>SUM(E63:E64)</f>
        <v>68</v>
      </c>
      <c r="F65" s="14">
        <f>SUM(F63:F64)</f>
        <v>1224</v>
      </c>
      <c r="G65" s="14">
        <f>SUM(G63:G64)</f>
        <v>1224</v>
      </c>
      <c r="H65" s="14">
        <v>0</v>
      </c>
      <c r="I65" s="14">
        <f>SUM(I63:I64)</f>
        <v>1224</v>
      </c>
      <c r="J65" s="10"/>
      <c r="K65" s="6"/>
      <c r="L65" s="2"/>
    </row>
    <row r="66" spans="1:12" ht="15">
      <c r="A66" s="10" t="s">
        <v>109</v>
      </c>
      <c r="B66" s="10" t="s">
        <v>82</v>
      </c>
      <c r="C66" s="10" t="s">
        <v>83</v>
      </c>
      <c r="D66" s="10" t="s">
        <v>2</v>
      </c>
      <c r="E66" s="10">
        <v>83</v>
      </c>
      <c r="F66" s="11">
        <f>G66+H66</f>
        <v>415</v>
      </c>
      <c r="G66" s="11">
        <f>E66*5</f>
        <v>415</v>
      </c>
      <c r="H66" s="11">
        <v>0</v>
      </c>
      <c r="I66" s="19">
        <f t="shared" ref="I66:I69" si="16">SUM(G66:H66)</f>
        <v>415</v>
      </c>
      <c r="J66" s="10"/>
      <c r="K66" s="6"/>
      <c r="L66" s="2"/>
    </row>
    <row r="67" spans="1:12" ht="15">
      <c r="A67" s="10" t="s">
        <v>109</v>
      </c>
      <c r="B67" s="10" t="s">
        <v>82</v>
      </c>
      <c r="C67" s="10" t="s">
        <v>84</v>
      </c>
      <c r="D67" s="10" t="s">
        <v>2</v>
      </c>
      <c r="E67" s="10">
        <v>24</v>
      </c>
      <c r="F67" s="11">
        <f t="shared" ref="F67:F70" si="17">G67+H67</f>
        <v>96</v>
      </c>
      <c r="G67" s="11">
        <f>E67*4</f>
        <v>96</v>
      </c>
      <c r="H67" s="11">
        <v>0</v>
      </c>
      <c r="I67" s="19">
        <f t="shared" si="16"/>
        <v>96</v>
      </c>
      <c r="J67" s="10"/>
      <c r="K67" s="6"/>
      <c r="L67" s="2"/>
    </row>
    <row r="68" spans="1:12" ht="15">
      <c r="A68" s="10" t="s">
        <v>109</v>
      </c>
      <c r="B68" s="10" t="s">
        <v>82</v>
      </c>
      <c r="C68" s="10" t="s">
        <v>85</v>
      </c>
      <c r="D68" s="10" t="s">
        <v>2</v>
      </c>
      <c r="E68" s="10">
        <v>17</v>
      </c>
      <c r="F68" s="11">
        <f t="shared" si="17"/>
        <v>85</v>
      </c>
      <c r="G68" s="11">
        <f>E68*5</f>
        <v>85</v>
      </c>
      <c r="H68" s="11">
        <v>0</v>
      </c>
      <c r="I68" s="19">
        <f t="shared" si="16"/>
        <v>85</v>
      </c>
      <c r="J68" s="10"/>
      <c r="K68" s="6"/>
      <c r="L68" s="2"/>
    </row>
    <row r="69" spans="1:12" ht="15">
      <c r="A69" s="10" t="s">
        <v>109</v>
      </c>
      <c r="B69" s="10" t="s">
        <v>82</v>
      </c>
      <c r="C69" s="10" t="s">
        <v>86</v>
      </c>
      <c r="D69" s="10" t="s">
        <v>2</v>
      </c>
      <c r="E69" s="10">
        <v>18</v>
      </c>
      <c r="F69" s="11">
        <f t="shared" si="17"/>
        <v>90</v>
      </c>
      <c r="G69" s="11">
        <f t="shared" ref="G69:G70" si="18">E69*5</f>
        <v>90</v>
      </c>
      <c r="H69" s="11">
        <v>0</v>
      </c>
      <c r="I69" s="19">
        <f t="shared" si="16"/>
        <v>90</v>
      </c>
      <c r="J69" s="10"/>
      <c r="K69" s="6"/>
      <c r="L69" s="2"/>
    </row>
    <row r="70" spans="1:12" ht="15">
      <c r="A70" s="13" t="s">
        <v>109</v>
      </c>
      <c r="B70" s="13" t="s">
        <v>82</v>
      </c>
      <c r="C70" s="13" t="s">
        <v>16</v>
      </c>
      <c r="D70" s="13" t="s">
        <v>17</v>
      </c>
      <c r="E70" s="13">
        <f>SUM(E66:E69)</f>
        <v>142</v>
      </c>
      <c r="F70" s="14">
        <f>SUM(F66:F69)</f>
        <v>686</v>
      </c>
      <c r="G70" s="14">
        <f>SUM(G66:G69)</f>
        <v>686</v>
      </c>
      <c r="H70" s="14">
        <v>0</v>
      </c>
      <c r="I70" s="14">
        <f>SUM(I66:I69)</f>
        <v>686</v>
      </c>
      <c r="J70" s="10"/>
      <c r="K70" s="6"/>
      <c r="L70" s="2"/>
    </row>
    <row r="71" spans="1:12" ht="15">
      <c r="A71" s="10" t="s">
        <v>109</v>
      </c>
      <c r="B71" s="10" t="s">
        <v>87</v>
      </c>
      <c r="C71" s="10" t="s">
        <v>88</v>
      </c>
      <c r="D71" s="10" t="s">
        <v>2</v>
      </c>
      <c r="E71" s="10">
        <v>44</v>
      </c>
      <c r="F71" s="11">
        <f t="shared" ref="F71:F72" si="19">G71+H71</f>
        <v>879.56</v>
      </c>
      <c r="G71" s="11">
        <f>E71*19.99</f>
        <v>879.56</v>
      </c>
      <c r="H71" s="11">
        <v>0</v>
      </c>
      <c r="I71" s="19">
        <f t="shared" ref="I71:I72" si="20">SUM(G71:H71)</f>
        <v>879.56</v>
      </c>
      <c r="J71" s="10"/>
      <c r="K71" s="6"/>
      <c r="L71" s="2"/>
    </row>
    <row r="72" spans="1:12" ht="15">
      <c r="A72" s="10" t="s">
        <v>109</v>
      </c>
      <c r="B72" s="10" t="s">
        <v>87</v>
      </c>
      <c r="C72" s="10" t="s">
        <v>89</v>
      </c>
      <c r="D72" s="10" t="s">
        <v>2</v>
      </c>
      <c r="E72" s="10">
        <v>24</v>
      </c>
      <c r="F72" s="11">
        <f t="shared" si="19"/>
        <v>479.76</v>
      </c>
      <c r="G72" s="11">
        <f>E72*19.99</f>
        <v>479.76</v>
      </c>
      <c r="H72" s="11">
        <v>0</v>
      </c>
      <c r="I72" s="19">
        <f t="shared" si="20"/>
        <v>479.76</v>
      </c>
      <c r="J72" s="10"/>
      <c r="K72" s="6"/>
      <c r="L72" s="2"/>
    </row>
    <row r="73" spans="1:12" ht="15">
      <c r="A73" s="13" t="s">
        <v>109</v>
      </c>
      <c r="B73" s="13" t="s">
        <v>87</v>
      </c>
      <c r="C73" s="13" t="s">
        <v>16</v>
      </c>
      <c r="D73" s="13" t="s">
        <v>17</v>
      </c>
      <c r="E73" s="13">
        <f>SUM(E71:E72)</f>
        <v>68</v>
      </c>
      <c r="F73" s="14">
        <f>SUM(F71:F72)</f>
        <v>1359.32</v>
      </c>
      <c r="G73" s="14">
        <f>SUM(G71:G72)</f>
        <v>1359.32</v>
      </c>
      <c r="H73" s="14">
        <v>0</v>
      </c>
      <c r="I73" s="14">
        <f>SUM(I71:I72)</f>
        <v>1359.32</v>
      </c>
      <c r="J73" s="10"/>
      <c r="K73" s="6"/>
      <c r="L73" s="2"/>
    </row>
    <row r="74" spans="1:12" ht="15">
      <c r="A74" s="10" t="s">
        <v>109</v>
      </c>
      <c r="B74" s="10" t="s">
        <v>90</v>
      </c>
      <c r="C74" s="10" t="s">
        <v>91</v>
      </c>
      <c r="D74" s="10" t="s">
        <v>2</v>
      </c>
      <c r="E74" s="10">
        <v>64</v>
      </c>
      <c r="F74" s="11">
        <f t="shared" ref="F74:F76" si="21">G74+H74</f>
        <v>832</v>
      </c>
      <c r="G74" s="11">
        <f>E74*13</f>
        <v>832</v>
      </c>
      <c r="H74" s="11">
        <v>0</v>
      </c>
      <c r="I74" s="19">
        <f t="shared" ref="I74:I76" si="22">SUM(G74:H74)</f>
        <v>832</v>
      </c>
      <c r="J74" s="10"/>
      <c r="K74" s="6"/>
      <c r="L74" s="2"/>
    </row>
    <row r="75" spans="1:12" ht="15">
      <c r="A75" s="10" t="s">
        <v>109</v>
      </c>
      <c r="B75" s="10" t="s">
        <v>90</v>
      </c>
      <c r="C75" s="10" t="s">
        <v>92</v>
      </c>
      <c r="D75" s="10" t="s">
        <v>2</v>
      </c>
      <c r="E75" s="10">
        <v>2</v>
      </c>
      <c r="F75" s="11">
        <f t="shared" si="21"/>
        <v>18</v>
      </c>
      <c r="G75" s="11">
        <f>E75*9</f>
        <v>18</v>
      </c>
      <c r="H75" s="11">
        <v>0</v>
      </c>
      <c r="I75" s="19">
        <f t="shared" si="22"/>
        <v>18</v>
      </c>
      <c r="J75" s="10"/>
      <c r="K75" s="6"/>
      <c r="L75" s="2"/>
    </row>
    <row r="76" spans="1:12" ht="15">
      <c r="A76" s="10" t="s">
        <v>109</v>
      </c>
      <c r="B76" s="10" t="s">
        <v>90</v>
      </c>
      <c r="C76" s="10" t="s">
        <v>93</v>
      </c>
      <c r="D76" s="10" t="s">
        <v>2</v>
      </c>
      <c r="E76" s="10">
        <v>16</v>
      </c>
      <c r="F76" s="11">
        <f t="shared" si="21"/>
        <v>64</v>
      </c>
      <c r="G76" s="11">
        <f>E76*4</f>
        <v>64</v>
      </c>
      <c r="H76" s="11">
        <v>0</v>
      </c>
      <c r="I76" s="19">
        <f t="shared" si="22"/>
        <v>64</v>
      </c>
      <c r="J76" s="10" t="s">
        <v>94</v>
      </c>
      <c r="K76" s="6"/>
      <c r="L76" s="2"/>
    </row>
    <row r="77" spans="1:12" ht="15">
      <c r="A77" s="13" t="s">
        <v>109</v>
      </c>
      <c r="B77" s="13" t="s">
        <v>90</v>
      </c>
      <c r="C77" s="13" t="s">
        <v>16</v>
      </c>
      <c r="D77" s="13" t="s">
        <v>17</v>
      </c>
      <c r="E77" s="13">
        <f>SUM(E74:E76)</f>
        <v>82</v>
      </c>
      <c r="F77" s="14">
        <f>SUM(F74:F76)</f>
        <v>914</v>
      </c>
      <c r="G77" s="14">
        <f>SUM(G74:G76)</f>
        <v>914</v>
      </c>
      <c r="H77" s="14">
        <v>0</v>
      </c>
      <c r="I77" s="14">
        <f>SUM(I74:I76)</f>
        <v>914</v>
      </c>
      <c r="J77" s="10"/>
      <c r="K77" s="6"/>
      <c r="L77" s="2"/>
    </row>
    <row r="78" spans="1:12" ht="15">
      <c r="A78" s="10" t="s">
        <v>109</v>
      </c>
      <c r="B78" s="10" t="s">
        <v>95</v>
      </c>
      <c r="C78" s="10" t="s">
        <v>96</v>
      </c>
      <c r="D78" s="10" t="s">
        <v>2</v>
      </c>
      <c r="E78" s="10">
        <v>1</v>
      </c>
      <c r="F78" s="11">
        <f t="shared" ref="F78:F86" si="23">G78+H78</f>
        <v>2</v>
      </c>
      <c r="G78" s="11">
        <f>E78*2</f>
        <v>2</v>
      </c>
      <c r="H78" s="11">
        <v>0</v>
      </c>
      <c r="I78" s="19">
        <f t="shared" ref="I78:I86" si="24">SUM(G78:H78)</f>
        <v>2</v>
      </c>
      <c r="J78" s="10"/>
      <c r="K78" s="6"/>
      <c r="L78" s="2"/>
    </row>
    <row r="79" spans="1:12" ht="15">
      <c r="A79" s="10" t="s">
        <v>109</v>
      </c>
      <c r="B79" s="10" t="s">
        <v>95</v>
      </c>
      <c r="C79" s="10" t="s">
        <v>97</v>
      </c>
      <c r="D79" s="10" t="s">
        <v>2</v>
      </c>
      <c r="E79" s="10">
        <v>12</v>
      </c>
      <c r="F79" s="11">
        <f t="shared" si="23"/>
        <v>24</v>
      </c>
      <c r="G79" s="11">
        <f>E79*2</f>
        <v>24</v>
      </c>
      <c r="H79" s="11">
        <v>0</v>
      </c>
      <c r="I79" s="19">
        <f t="shared" si="24"/>
        <v>24</v>
      </c>
      <c r="J79" s="10"/>
      <c r="K79" s="6"/>
      <c r="L79" s="2"/>
    </row>
    <row r="80" spans="1:12" ht="15">
      <c r="A80" s="10" t="s">
        <v>109</v>
      </c>
      <c r="B80" s="10" t="s">
        <v>95</v>
      </c>
      <c r="C80" s="10" t="s">
        <v>98</v>
      </c>
      <c r="D80" s="10" t="s">
        <v>2</v>
      </c>
      <c r="E80" s="10">
        <v>14</v>
      </c>
      <c r="F80" s="11">
        <f>G80+H80</f>
        <v>14</v>
      </c>
      <c r="G80" s="11">
        <f>E80*1</f>
        <v>14</v>
      </c>
      <c r="H80" s="11">
        <v>0</v>
      </c>
      <c r="I80" s="19">
        <f t="shared" si="24"/>
        <v>14</v>
      </c>
      <c r="J80" s="10"/>
      <c r="K80" s="6"/>
      <c r="L80" s="2"/>
    </row>
    <row r="81" spans="1:12" ht="15">
      <c r="A81" s="10" t="s">
        <v>109</v>
      </c>
      <c r="B81" s="10" t="s">
        <v>95</v>
      </c>
      <c r="C81" s="10" t="s">
        <v>99</v>
      </c>
      <c r="D81" s="10" t="s">
        <v>2</v>
      </c>
      <c r="E81" s="10">
        <v>14</v>
      </c>
      <c r="F81" s="11">
        <f t="shared" si="23"/>
        <v>14</v>
      </c>
      <c r="G81" s="11">
        <f>E81*1</f>
        <v>14</v>
      </c>
      <c r="H81" s="11">
        <v>0</v>
      </c>
      <c r="I81" s="19">
        <f t="shared" si="24"/>
        <v>14</v>
      </c>
      <c r="J81" s="10"/>
      <c r="K81" s="6"/>
      <c r="L81" s="2"/>
    </row>
    <row r="82" spans="1:12" ht="15">
      <c r="A82" s="10" t="s">
        <v>109</v>
      </c>
      <c r="B82" s="10" t="s">
        <v>95</v>
      </c>
      <c r="C82" s="10" t="s">
        <v>100</v>
      </c>
      <c r="D82" s="10" t="s">
        <v>2</v>
      </c>
      <c r="E82" s="10">
        <v>25</v>
      </c>
      <c r="F82" s="11">
        <f t="shared" si="23"/>
        <v>25</v>
      </c>
      <c r="G82" s="11">
        <f>E82*1</f>
        <v>25</v>
      </c>
      <c r="H82" s="11">
        <v>0</v>
      </c>
      <c r="I82" s="19">
        <f t="shared" si="24"/>
        <v>25</v>
      </c>
      <c r="J82" s="10"/>
      <c r="K82" s="6"/>
      <c r="L82" s="2"/>
    </row>
    <row r="83" spans="1:12" ht="15">
      <c r="A83" s="10" t="s">
        <v>109</v>
      </c>
      <c r="B83" s="10" t="s">
        <v>95</v>
      </c>
      <c r="C83" s="10" t="s">
        <v>101</v>
      </c>
      <c r="D83" s="10" t="s">
        <v>2</v>
      </c>
      <c r="E83" s="10">
        <v>3</v>
      </c>
      <c r="F83" s="11">
        <f t="shared" si="23"/>
        <v>3</v>
      </c>
      <c r="G83" s="11">
        <f>E83*1</f>
        <v>3</v>
      </c>
      <c r="H83" s="11">
        <v>0</v>
      </c>
      <c r="I83" s="19">
        <f t="shared" si="24"/>
        <v>3</v>
      </c>
      <c r="J83" s="10"/>
      <c r="K83" s="6"/>
      <c r="L83" s="2"/>
    </row>
    <row r="84" spans="1:12" ht="15">
      <c r="A84" s="10" t="s">
        <v>109</v>
      </c>
      <c r="B84" s="10" t="s">
        <v>95</v>
      </c>
      <c r="C84" s="10" t="s">
        <v>102</v>
      </c>
      <c r="D84" s="10" t="s">
        <v>2</v>
      </c>
      <c r="E84" s="10">
        <v>5</v>
      </c>
      <c r="F84" s="11">
        <f t="shared" si="23"/>
        <v>5</v>
      </c>
      <c r="G84" s="11">
        <f>E84*1</f>
        <v>5</v>
      </c>
      <c r="H84" s="11">
        <v>0</v>
      </c>
      <c r="I84" s="19">
        <f t="shared" si="24"/>
        <v>5</v>
      </c>
      <c r="J84" s="10"/>
      <c r="K84" s="6"/>
      <c r="L84" s="2"/>
    </row>
    <row r="85" spans="1:12" ht="15">
      <c r="A85" s="10" t="s">
        <v>109</v>
      </c>
      <c r="B85" s="10" t="s">
        <v>95</v>
      </c>
      <c r="C85" s="10" t="s">
        <v>103</v>
      </c>
      <c r="D85" s="10" t="s">
        <v>2</v>
      </c>
      <c r="E85" s="10">
        <v>9</v>
      </c>
      <c r="F85" s="11">
        <f t="shared" si="23"/>
        <v>9</v>
      </c>
      <c r="G85" s="11">
        <f>E85*1</f>
        <v>9</v>
      </c>
      <c r="H85" s="11">
        <v>0</v>
      </c>
      <c r="I85" s="19">
        <f t="shared" si="24"/>
        <v>9</v>
      </c>
      <c r="J85" s="10"/>
      <c r="K85" s="6"/>
      <c r="L85" s="2"/>
    </row>
    <row r="86" spans="1:12" ht="15">
      <c r="A86" s="10" t="s">
        <v>109</v>
      </c>
      <c r="B86" s="10" t="s">
        <v>95</v>
      </c>
      <c r="C86" s="10" t="s">
        <v>104</v>
      </c>
      <c r="D86" s="10" t="s">
        <v>2</v>
      </c>
      <c r="E86" s="10">
        <f>17+16</f>
        <v>33</v>
      </c>
      <c r="F86" s="11">
        <f>G86+H86</f>
        <v>33</v>
      </c>
      <c r="G86" s="11">
        <f>E86*1</f>
        <v>33</v>
      </c>
      <c r="H86" s="11">
        <v>0</v>
      </c>
      <c r="I86" s="19">
        <f t="shared" si="24"/>
        <v>33</v>
      </c>
      <c r="J86" s="10"/>
      <c r="K86" s="6"/>
      <c r="L86" s="2"/>
    </row>
    <row r="87" spans="1:12" ht="15">
      <c r="A87" s="13" t="s">
        <v>109</v>
      </c>
      <c r="B87" s="13" t="s">
        <v>95</v>
      </c>
      <c r="C87" s="13" t="s">
        <v>16</v>
      </c>
      <c r="D87" s="13" t="s">
        <v>17</v>
      </c>
      <c r="E87" s="13">
        <f>SUM(E78:E86)</f>
        <v>116</v>
      </c>
      <c r="F87" s="14">
        <f>SUM(F78:F86)</f>
        <v>129</v>
      </c>
      <c r="G87" s="14">
        <f>SUM(G78:G86)</f>
        <v>129</v>
      </c>
      <c r="H87" s="14">
        <v>0</v>
      </c>
      <c r="I87" s="14">
        <f>SUM(I78:I86)</f>
        <v>129</v>
      </c>
      <c r="J87" s="10"/>
      <c r="K87" s="6"/>
      <c r="L87" s="2"/>
    </row>
    <row r="88" spans="1:12" ht="15">
      <c r="A88" s="18" t="s">
        <v>109</v>
      </c>
      <c r="B88" s="4" t="s">
        <v>105</v>
      </c>
      <c r="C88" s="4" t="s">
        <v>106</v>
      </c>
      <c r="D88" s="4" t="s">
        <v>17</v>
      </c>
      <c r="E88" s="5">
        <f>SUM(E5+E14+E23+E37+E52+E58+E62+E65+E70+E73+E77+E87)</f>
        <v>4445</v>
      </c>
      <c r="F88" s="5">
        <f>SUM(F5+F14+F23+F37+F52+F58+F62+F65+F70+F73+F77+F87)</f>
        <v>121542.48000000001</v>
      </c>
      <c r="G88" s="5">
        <f>SUM(G5+G14+G23+G37+G52+G58+G62+G65+G70+G73+G77+G87)</f>
        <v>120785.48000000001</v>
      </c>
      <c r="H88" s="5">
        <f>SUM(H5+H14+H23+H37+H52+H58+H62+H65+H70+H73+H77+H87)</f>
        <v>757</v>
      </c>
      <c r="I88" s="5">
        <f>SUM(I5+I14+I23+I37+I52+I58+I62+I65+I70+I73+I77+I87)</f>
        <v>121440.48000000001</v>
      </c>
      <c r="J88" s="10"/>
      <c r="K88" s="6"/>
      <c r="L88" s="2"/>
    </row>
    <row r="89" spans="1:12">
      <c r="K89" s="6"/>
      <c r="L89" s="7"/>
    </row>
    <row r="90" spans="1:12">
      <c r="J90" s="3"/>
      <c r="K90" s="6"/>
    </row>
    <row r="91" spans="1:12" ht="14.25" customHeight="1">
      <c r="K91" s="6"/>
    </row>
    <row r="92" spans="1:12" ht="14.25" customHeight="1">
      <c r="K92" s="6"/>
    </row>
    <row r="93" spans="1:12" ht="14.25" customHeight="1">
      <c r="K9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C9CB-3E1A-4E6C-AEC5-85FA87A22B6C}">
  <dimension ref="A1:J262"/>
  <sheetViews>
    <sheetView tabSelected="1" workbookViewId="0">
      <selection activeCell="H18" sqref="H18"/>
    </sheetView>
  </sheetViews>
  <sheetFormatPr defaultRowHeight="14.25"/>
  <cols>
    <col min="1" max="1" width="13.875" customWidth="1"/>
    <col min="2" max="2" width="25.5" customWidth="1"/>
    <col min="3" max="3" width="28.875" customWidth="1"/>
    <col min="4" max="4" width="18.125" customWidth="1"/>
    <col min="6" max="6" width="12.375" customWidth="1"/>
    <col min="7" max="7" width="15" customWidth="1"/>
    <col min="8" max="8" width="11.25" customWidth="1"/>
    <col min="9" max="9" width="13" customWidth="1"/>
    <col min="10" max="10" width="21.625" customWidth="1"/>
  </cols>
  <sheetData>
    <row r="1" spans="1:10">
      <c r="A1" t="str" cm="1">
        <f t="array" ref="A1:J1">'Cleaned Feb Set'!A1:J1</f>
        <v>Period</v>
      </c>
      <c r="B1" t="str">
        <v>Category</v>
      </c>
      <c r="C1" t="str">
        <v>Item</v>
      </c>
      <c r="D1" t="str">
        <v>Row Type</v>
      </c>
      <c r="E1" t="str">
        <v>Sold</v>
      </c>
      <c r="F1" t="str">
        <v>Gross Sales</v>
      </c>
      <c r="G1" t="str">
        <v>Item Gross Sales</v>
      </c>
      <c r="H1" t="str">
        <v>Modifier Gross Sale</v>
      </c>
      <c r="I1" t="str">
        <v>Net Sales</v>
      </c>
      <c r="J1" t="str">
        <v>Notes</v>
      </c>
    </row>
    <row r="2" spans="1:10">
      <c r="A2" t="str" cm="1">
        <f t="array" ref="A2:J262">_xlfn.VSTACK('Cleaned Feb Set'!A2:J88, 'Cleaned March Set'!A2:J88, 'Cleaned April set'!A2:J88)</f>
        <v>FEB</v>
      </c>
      <c r="B2" t="str">
        <v>BBQ Platters</v>
      </c>
      <c r="C2" t="str">
        <v>Three Yard</v>
      </c>
      <c r="D2" t="str">
        <v>Item</v>
      </c>
      <c r="E2">
        <v>28</v>
      </c>
      <c r="F2">
        <v>3024</v>
      </c>
      <c r="G2">
        <v>3024</v>
      </c>
      <c r="H2">
        <v>0</v>
      </c>
      <c r="I2">
        <v>3024</v>
      </c>
      <c r="J2" t="str">
        <v>Post-acquisition February sample...</v>
      </c>
    </row>
    <row r="3" spans="1:10">
      <c r="A3" t="str">
        <v>FEB</v>
      </c>
      <c r="B3" t="str">
        <v>BBQ Platters</v>
      </c>
      <c r="C3" t="str">
        <v>Six Yard</v>
      </c>
      <c r="D3" t="str">
        <v>Item</v>
      </c>
      <c r="E3">
        <v>10</v>
      </c>
      <c r="F3">
        <v>1980</v>
      </c>
      <c r="G3">
        <v>1980</v>
      </c>
      <c r="H3">
        <v>0</v>
      </c>
      <c r="I3">
        <v>1980</v>
      </c>
      <c r="J3">
        <v>0</v>
      </c>
    </row>
    <row r="4" spans="1:10">
      <c r="A4" t="str">
        <v>FEB</v>
      </c>
      <c r="B4" t="str">
        <v>BBQ Platters</v>
      </c>
      <c r="C4" t="str">
        <v>Nine Yard</v>
      </c>
      <c r="D4" t="str">
        <v>Item</v>
      </c>
      <c r="E4">
        <v>3</v>
      </c>
      <c r="F4">
        <v>894</v>
      </c>
      <c r="G4">
        <v>894</v>
      </c>
      <c r="H4">
        <v>0</v>
      </c>
      <c r="I4">
        <v>894</v>
      </c>
      <c r="J4">
        <v>0</v>
      </c>
    </row>
    <row r="5" spans="1:10">
      <c r="A5" t="str">
        <v>FEB</v>
      </c>
      <c r="B5" t="str">
        <v>BBQ Platters</v>
      </c>
      <c r="C5" t="str">
        <v>Total</v>
      </c>
      <c r="D5" t="str">
        <v>Category Total</v>
      </c>
      <c r="E5">
        <v>41</v>
      </c>
      <c r="F5">
        <v>5898</v>
      </c>
      <c r="G5">
        <v>5898</v>
      </c>
      <c r="H5">
        <v>0</v>
      </c>
      <c r="I5">
        <v>5898</v>
      </c>
      <c r="J5">
        <v>0</v>
      </c>
    </row>
    <row r="6" spans="1:10">
      <c r="A6" t="str">
        <v>FEB</v>
      </c>
      <c r="B6" t="str">
        <v>Smoke Yard</v>
      </c>
      <c r="C6" t="str">
        <v>Beef Back Ribs</v>
      </c>
      <c r="D6" t="str">
        <v>Item</v>
      </c>
      <c r="E6">
        <v>19</v>
      </c>
      <c r="F6">
        <v>684</v>
      </c>
      <c r="G6">
        <v>684</v>
      </c>
      <c r="H6">
        <v>0</v>
      </c>
      <c r="I6">
        <v>684</v>
      </c>
      <c r="J6">
        <v>0</v>
      </c>
    </row>
    <row r="7" spans="1:10">
      <c r="A7" t="str">
        <v>FEB</v>
      </c>
      <c r="B7" t="str">
        <v>Smoke Yard</v>
      </c>
      <c r="C7" t="str">
        <v>Short Ribs</v>
      </c>
      <c r="D7" t="str">
        <v>Item</v>
      </c>
      <c r="E7">
        <v>8</v>
      </c>
      <c r="F7">
        <v>440</v>
      </c>
      <c r="G7">
        <v>440</v>
      </c>
      <c r="H7">
        <v>0</v>
      </c>
      <c r="I7">
        <v>440</v>
      </c>
      <c r="J7">
        <v>0</v>
      </c>
    </row>
    <row r="8" spans="1:10">
      <c r="A8" t="str">
        <v>FEB</v>
      </c>
      <c r="B8" t="str">
        <v>Smoke Yard</v>
      </c>
      <c r="C8" t="str">
        <v>Brisket</v>
      </c>
      <c r="D8" t="str">
        <v>Item</v>
      </c>
      <c r="E8">
        <v>14</v>
      </c>
      <c r="F8">
        <v>658</v>
      </c>
      <c r="G8">
        <v>658</v>
      </c>
      <c r="H8">
        <v>0</v>
      </c>
      <c r="I8">
        <v>658</v>
      </c>
      <c r="J8">
        <v>0</v>
      </c>
    </row>
    <row r="9" spans="1:10">
      <c r="A9" t="str">
        <v>FEB</v>
      </c>
      <c r="B9" t="str">
        <v>Smoke Yard</v>
      </c>
      <c r="C9" t="str">
        <v>Lamb Shank</v>
      </c>
      <c r="D9" t="str">
        <v>Item</v>
      </c>
      <c r="E9">
        <v>3</v>
      </c>
      <c r="F9">
        <v>108</v>
      </c>
      <c r="G9">
        <v>108</v>
      </c>
      <c r="H9">
        <v>0</v>
      </c>
      <c r="I9">
        <v>108</v>
      </c>
      <c r="J9">
        <v>0</v>
      </c>
    </row>
    <row r="10" spans="1:10">
      <c r="A10" t="str">
        <v>FEB</v>
      </c>
      <c r="B10" t="str">
        <v>Smoke Yard</v>
      </c>
      <c r="C10" t="str">
        <v>Chicken Quarters</v>
      </c>
      <c r="D10" t="str">
        <v>Item</v>
      </c>
      <c r="E10">
        <v>3</v>
      </c>
      <c r="F10">
        <v>75</v>
      </c>
      <c r="G10">
        <v>75</v>
      </c>
      <c r="H10">
        <v>0</v>
      </c>
      <c r="I10">
        <v>75</v>
      </c>
      <c r="J10">
        <v>0</v>
      </c>
    </row>
    <row r="11" spans="1:10">
      <c r="A11" t="str">
        <v>FEB</v>
      </c>
      <c r="B11" t="str">
        <v>Smoke Yard</v>
      </c>
      <c r="C11" t="str">
        <v>Whole Smoked Chicken</v>
      </c>
      <c r="D11" t="str">
        <v>Item</v>
      </c>
      <c r="E11">
        <v>3</v>
      </c>
      <c r="F11">
        <v>105</v>
      </c>
      <c r="G11">
        <v>105</v>
      </c>
      <c r="H11">
        <v>0</v>
      </c>
      <c r="I11">
        <v>105</v>
      </c>
      <c r="J11">
        <v>0</v>
      </c>
    </row>
    <row r="12" spans="1:10">
      <c r="A12" t="str">
        <v>FEB</v>
      </c>
      <c r="B12" t="str">
        <v>Smoke Yard</v>
      </c>
      <c r="C12" t="str">
        <v>Pulled Chuck</v>
      </c>
      <c r="D12" t="str">
        <v>Item</v>
      </c>
      <c r="E12">
        <v>1</v>
      </c>
      <c r="F12">
        <v>20</v>
      </c>
      <c r="G12">
        <v>20</v>
      </c>
      <c r="H12">
        <v>0</v>
      </c>
      <c r="I12">
        <v>20</v>
      </c>
      <c r="J12">
        <v>0</v>
      </c>
    </row>
    <row r="13" spans="1:10">
      <c r="A13" t="str">
        <v>FEB</v>
      </c>
      <c r="B13" t="str">
        <v>Smoke Yard</v>
      </c>
      <c r="C13" t="str">
        <v>Smoked Sausages (5 Pcs)</v>
      </c>
      <c r="D13" t="str">
        <v>Item</v>
      </c>
      <c r="E13">
        <v>5</v>
      </c>
      <c r="F13">
        <v>100</v>
      </c>
      <c r="G13">
        <v>100</v>
      </c>
      <c r="H13">
        <v>0</v>
      </c>
      <c r="I13">
        <v>100</v>
      </c>
      <c r="J13">
        <v>0</v>
      </c>
    </row>
    <row r="14" spans="1:10">
      <c r="A14" t="str">
        <v>FEB</v>
      </c>
      <c r="B14" t="str">
        <v>Smoke Yard</v>
      </c>
      <c r="C14" t="str">
        <v>Total</v>
      </c>
      <c r="D14" t="str">
        <v>Category Total</v>
      </c>
      <c r="E14">
        <v>56</v>
      </c>
      <c r="F14">
        <v>2190</v>
      </c>
      <c r="G14">
        <v>2190</v>
      </c>
      <c r="H14">
        <v>0</v>
      </c>
      <c r="I14">
        <v>2190</v>
      </c>
      <c r="J14">
        <v>0</v>
      </c>
    </row>
    <row r="15" spans="1:10">
      <c r="A15" t="str">
        <v>FEB</v>
      </c>
      <c r="B15" t="str">
        <v>The Bun Yard</v>
      </c>
      <c r="C15" t="str">
        <v>The Backyard Burger</v>
      </c>
      <c r="D15" t="str">
        <v>Item</v>
      </c>
      <c r="E15">
        <v>19</v>
      </c>
      <c r="F15">
        <v>380</v>
      </c>
      <c r="G15">
        <v>380</v>
      </c>
      <c r="H15">
        <v>0</v>
      </c>
      <c r="I15">
        <v>380</v>
      </c>
      <c r="J15">
        <v>0</v>
      </c>
    </row>
    <row r="16" spans="1:10">
      <c r="A16" t="str">
        <v>FEB</v>
      </c>
      <c r="B16" t="str">
        <v>The Bun Yard</v>
      </c>
      <c r="C16" t="str">
        <v>Brisket Beef Burger</v>
      </c>
      <c r="D16" t="str">
        <v>Item</v>
      </c>
      <c r="E16">
        <v>14</v>
      </c>
      <c r="F16">
        <v>349.85999999999996</v>
      </c>
      <c r="G16">
        <v>349.85999999999996</v>
      </c>
      <c r="H16">
        <v>0</v>
      </c>
      <c r="I16">
        <v>349.85999999999996</v>
      </c>
      <c r="J16">
        <v>0</v>
      </c>
    </row>
    <row r="17" spans="1:10">
      <c r="A17" t="str">
        <v>FEB</v>
      </c>
      <c r="B17" t="str">
        <v>The Bun Yard</v>
      </c>
      <c r="C17" t="str">
        <v>The Chef Yard Burger</v>
      </c>
      <c r="D17" t="str">
        <v>Item</v>
      </c>
      <c r="E17">
        <v>11</v>
      </c>
      <c r="F17">
        <v>242</v>
      </c>
      <c r="G17">
        <v>242</v>
      </c>
      <c r="H17">
        <v>0</v>
      </c>
      <c r="I17">
        <v>242</v>
      </c>
      <c r="J17">
        <v>0</v>
      </c>
    </row>
    <row r="18" spans="1:10">
      <c r="A18" t="str">
        <v>FEB</v>
      </c>
      <c r="B18" t="str">
        <v>The Bun Yard</v>
      </c>
      <c r="C18" t="str">
        <v>Cheeseyard Burger</v>
      </c>
      <c r="D18" t="str">
        <v>Item</v>
      </c>
      <c r="E18">
        <v>2</v>
      </c>
      <c r="F18">
        <v>44</v>
      </c>
      <c r="G18">
        <v>44</v>
      </c>
      <c r="H18">
        <v>0</v>
      </c>
      <c r="I18">
        <v>44</v>
      </c>
      <c r="J18">
        <v>0</v>
      </c>
    </row>
    <row r="19" spans="1:10">
      <c r="A19" t="str">
        <v>FEB</v>
      </c>
      <c r="B19" t="str">
        <v>The Bun Yard</v>
      </c>
      <c r="C19" t="str">
        <v>Nashville Hen Sandwich</v>
      </c>
      <c r="D19" t="str">
        <v>Item</v>
      </c>
      <c r="E19">
        <v>10</v>
      </c>
      <c r="F19">
        <v>200</v>
      </c>
      <c r="G19">
        <v>200</v>
      </c>
      <c r="H19">
        <v>0</v>
      </c>
      <c r="I19">
        <v>200</v>
      </c>
      <c r="J19">
        <v>0</v>
      </c>
    </row>
    <row r="20" spans="1:10">
      <c r="A20" t="str">
        <v>FEB</v>
      </c>
      <c r="B20" t="str">
        <v>The Bun Yard</v>
      </c>
      <c r="C20" t="str">
        <v>Pulled Beef Sandwich</v>
      </c>
      <c r="D20" t="str">
        <v>Item</v>
      </c>
      <c r="E20">
        <v>13</v>
      </c>
      <c r="F20">
        <v>286</v>
      </c>
      <c r="G20">
        <v>286</v>
      </c>
      <c r="H20">
        <v>0</v>
      </c>
      <c r="I20">
        <v>286</v>
      </c>
      <c r="J20">
        <v>0</v>
      </c>
    </row>
    <row r="21" spans="1:10">
      <c r="A21" t="str">
        <v>FEB</v>
      </c>
      <c r="B21" t="str">
        <v>The Bun Yard</v>
      </c>
      <c r="C21" t="str">
        <v>Holy Hen Sandwich</v>
      </c>
      <c r="D21" t="str">
        <v>Item</v>
      </c>
      <c r="E21">
        <v>3</v>
      </c>
      <c r="F21">
        <v>57</v>
      </c>
      <c r="G21">
        <v>57</v>
      </c>
      <c r="H21">
        <v>0</v>
      </c>
      <c r="I21">
        <v>57</v>
      </c>
      <c r="J21">
        <v>0</v>
      </c>
    </row>
    <row r="22" spans="1:10">
      <c r="A22" t="str">
        <v>FEB</v>
      </c>
      <c r="B22" t="str">
        <v>The Bun Yard</v>
      </c>
      <c r="C22" t="str">
        <v>Pulled Smoked Chicken</v>
      </c>
      <c r="D22" t="str">
        <v>Item</v>
      </c>
      <c r="E22">
        <v>4</v>
      </c>
      <c r="F22">
        <v>76</v>
      </c>
      <c r="G22">
        <v>76</v>
      </c>
      <c r="H22">
        <v>0</v>
      </c>
      <c r="I22">
        <v>76</v>
      </c>
      <c r="J22">
        <v>0</v>
      </c>
    </row>
    <row r="23" spans="1:10">
      <c r="A23" t="str">
        <v>FEB</v>
      </c>
      <c r="B23" t="str">
        <v>The Bun Yard</v>
      </c>
      <c r="C23" t="str">
        <v>Total</v>
      </c>
      <c r="D23" t="str">
        <v>Category Total</v>
      </c>
      <c r="E23">
        <v>76</v>
      </c>
      <c r="F23">
        <v>1634.86</v>
      </c>
      <c r="G23">
        <v>1634.86</v>
      </c>
      <c r="H23">
        <v>0</v>
      </c>
      <c r="I23">
        <v>1634.86</v>
      </c>
      <c r="J23">
        <v>0</v>
      </c>
    </row>
    <row r="24" spans="1:10">
      <c r="A24" t="str">
        <v>FEB</v>
      </c>
      <c r="B24" t="str">
        <v>Drinks</v>
      </c>
      <c r="C24" t="str">
        <v>Mango Strawberry Lemonade</v>
      </c>
      <c r="D24" t="str">
        <v>Item</v>
      </c>
      <c r="E24">
        <v>13</v>
      </c>
      <c r="F24">
        <v>91</v>
      </c>
      <c r="G24">
        <v>91</v>
      </c>
      <c r="H24">
        <v>0</v>
      </c>
      <c r="I24">
        <v>91</v>
      </c>
      <c r="J24">
        <v>0</v>
      </c>
    </row>
    <row r="25" spans="1:10">
      <c r="A25" t="str">
        <v>FEB</v>
      </c>
      <c r="B25" t="str">
        <v>Drinks</v>
      </c>
      <c r="C25" t="str">
        <v>Mocktails</v>
      </c>
      <c r="D25" t="str">
        <v>Item</v>
      </c>
      <c r="E25">
        <v>8</v>
      </c>
      <c r="F25">
        <v>90</v>
      </c>
      <c r="G25">
        <v>90</v>
      </c>
      <c r="H25">
        <v>0</v>
      </c>
      <c r="I25">
        <v>90</v>
      </c>
      <c r="J25" t="str">
        <v>grouped by modifiers</v>
      </c>
    </row>
    <row r="26" spans="1:10">
      <c r="A26" t="str">
        <v>FEB</v>
      </c>
      <c r="B26" t="str">
        <v>Drinks</v>
      </c>
      <c r="C26" t="str">
        <v>Blackberry Pineapple Lemonade</v>
      </c>
      <c r="D26" t="str">
        <v>Item</v>
      </c>
      <c r="E26">
        <v>5</v>
      </c>
      <c r="F26">
        <v>35</v>
      </c>
      <c r="G26">
        <v>35</v>
      </c>
      <c r="H26">
        <v>0</v>
      </c>
      <c r="I26">
        <v>35</v>
      </c>
      <c r="J26">
        <v>0</v>
      </c>
    </row>
    <row r="27" spans="1:10">
      <c r="A27" t="str">
        <v>FEB</v>
      </c>
      <c r="B27" t="str">
        <v>Drinks</v>
      </c>
      <c r="C27" t="str">
        <v>Diet Coke</v>
      </c>
      <c r="D27" t="str">
        <v>Item</v>
      </c>
      <c r="E27">
        <v>17</v>
      </c>
      <c r="F27">
        <v>94.5</v>
      </c>
      <c r="G27">
        <v>59.5</v>
      </c>
      <c r="H27">
        <v>35</v>
      </c>
      <c r="I27">
        <v>94.5</v>
      </c>
      <c r="J27" t="str">
        <v>Diet coke + Diet pepsi</v>
      </c>
    </row>
    <row r="28" spans="1:10">
      <c r="A28" t="str">
        <v>FEB</v>
      </c>
      <c r="B28" t="str">
        <v>Drinks</v>
      </c>
      <c r="C28" t="str">
        <v>Mint Lemonade</v>
      </c>
      <c r="D28" t="str">
        <v>Item</v>
      </c>
      <c r="E28">
        <v>8</v>
      </c>
      <c r="F28">
        <v>56</v>
      </c>
      <c r="G28">
        <v>56</v>
      </c>
      <c r="H28">
        <v>0</v>
      </c>
      <c r="I28">
        <v>56</v>
      </c>
      <c r="J28">
        <v>0</v>
      </c>
    </row>
    <row r="29" spans="1:10">
      <c r="A29" t="str">
        <v>FEB</v>
      </c>
      <c r="B29" t="str">
        <v>Drinks</v>
      </c>
      <c r="C29" t="str">
        <v>Milkshakes</v>
      </c>
      <c r="D29" t="str">
        <v>Item</v>
      </c>
      <c r="E29">
        <v>9</v>
      </c>
      <c r="F29">
        <v>85</v>
      </c>
      <c r="G29">
        <v>85</v>
      </c>
      <c r="H29">
        <v>0</v>
      </c>
      <c r="I29">
        <v>85</v>
      </c>
      <c r="J29" t="str">
        <v>grouped by modifiers | uncat</v>
      </c>
    </row>
    <row r="30" spans="1:10">
      <c r="A30" t="str">
        <v>FEB</v>
      </c>
      <c r="B30" t="str">
        <v>Drinks</v>
      </c>
      <c r="C30" t="str">
        <v>Canada Dry</v>
      </c>
      <c r="D30" t="str">
        <v>Item</v>
      </c>
      <c r="E30">
        <v>14</v>
      </c>
      <c r="F30">
        <v>49</v>
      </c>
      <c r="G30">
        <v>49</v>
      </c>
      <c r="H30">
        <v>0</v>
      </c>
      <c r="I30">
        <v>49</v>
      </c>
      <c r="J30">
        <v>0</v>
      </c>
    </row>
    <row r="31" spans="1:10">
      <c r="A31" t="str">
        <v>FEB</v>
      </c>
      <c r="B31" t="str">
        <v>Drinks</v>
      </c>
      <c r="C31" t="str">
        <v>Coke</v>
      </c>
      <c r="D31" t="str">
        <v>Item</v>
      </c>
      <c r="E31">
        <v>16</v>
      </c>
      <c r="F31">
        <v>70</v>
      </c>
      <c r="G31">
        <v>56</v>
      </c>
      <c r="H31">
        <v>14</v>
      </c>
      <c r="I31">
        <v>70</v>
      </c>
      <c r="J31">
        <v>0</v>
      </c>
    </row>
    <row r="32" spans="1:10">
      <c r="A32" t="str">
        <v>FEB</v>
      </c>
      <c r="B32" t="str">
        <v>Drinks</v>
      </c>
      <c r="C32" t="str">
        <v>7 Up</v>
      </c>
      <c r="D32" t="str">
        <v>Item</v>
      </c>
      <c r="E32">
        <v>5</v>
      </c>
      <c r="F32">
        <v>28</v>
      </c>
      <c r="G32">
        <v>17.5</v>
      </c>
      <c r="H32">
        <v>10.5</v>
      </c>
      <c r="I32">
        <v>28</v>
      </c>
      <c r="J32" t="str">
        <v>Sprite + 7up orders</v>
      </c>
    </row>
    <row r="33" spans="1:10">
      <c r="A33" t="str">
        <v>FEB</v>
      </c>
      <c r="B33" t="str">
        <v>Drinks</v>
      </c>
      <c r="C33" t="str">
        <v>Coke Zero</v>
      </c>
      <c r="D33" t="str">
        <v>Item</v>
      </c>
      <c r="E33">
        <v>15</v>
      </c>
      <c r="F33">
        <v>66.5</v>
      </c>
      <c r="G33">
        <v>52.5</v>
      </c>
      <c r="H33">
        <v>14</v>
      </c>
      <c r="I33">
        <v>66.5</v>
      </c>
      <c r="J33">
        <v>0</v>
      </c>
    </row>
    <row r="34" spans="1:10">
      <c r="A34" t="str">
        <v>FEB</v>
      </c>
      <c r="B34" t="str">
        <v>Drinks</v>
      </c>
      <c r="C34" t="str">
        <v>Carbonated Water</v>
      </c>
      <c r="D34" t="str">
        <v>Item</v>
      </c>
      <c r="E34">
        <v>5</v>
      </c>
      <c r="F34">
        <v>20</v>
      </c>
      <c r="G34">
        <v>20</v>
      </c>
      <c r="H34">
        <v>0</v>
      </c>
      <c r="I34">
        <v>20</v>
      </c>
      <c r="J34">
        <v>0</v>
      </c>
    </row>
    <row r="35" spans="1:10">
      <c r="A35" t="str">
        <v>FEB</v>
      </c>
      <c r="B35" t="str">
        <v>Drinks</v>
      </c>
      <c r="C35" t="str">
        <v>Barbican</v>
      </c>
      <c r="D35" t="str">
        <v>Item</v>
      </c>
      <c r="E35">
        <v>2</v>
      </c>
      <c r="F35">
        <v>9</v>
      </c>
      <c r="G35">
        <v>9</v>
      </c>
      <c r="H35">
        <v>0</v>
      </c>
      <c r="I35">
        <v>9</v>
      </c>
      <c r="J35">
        <v>0</v>
      </c>
    </row>
    <row r="36" spans="1:10">
      <c r="A36" t="str">
        <v>FEB</v>
      </c>
      <c r="B36" t="str">
        <v>Drinks</v>
      </c>
      <c r="C36" t="str">
        <v>Crush</v>
      </c>
      <c r="D36" t="str">
        <v>Item</v>
      </c>
      <c r="E36">
        <v>2</v>
      </c>
      <c r="F36">
        <v>7</v>
      </c>
      <c r="G36">
        <v>7</v>
      </c>
      <c r="H36">
        <v>0</v>
      </c>
      <c r="I36">
        <v>7</v>
      </c>
      <c r="J36">
        <v>0</v>
      </c>
    </row>
    <row r="37" spans="1:10">
      <c r="A37" t="str">
        <v>FEB</v>
      </c>
      <c r="B37" t="str">
        <v>Drinks</v>
      </c>
      <c r="C37" t="str">
        <v>Total</v>
      </c>
      <c r="D37" t="str">
        <v>Category Total</v>
      </c>
      <c r="E37">
        <v>119</v>
      </c>
      <c r="F37">
        <v>701</v>
      </c>
      <c r="G37">
        <v>627.5</v>
      </c>
      <c r="H37">
        <v>73.5</v>
      </c>
      <c r="I37">
        <v>701</v>
      </c>
      <c r="J37">
        <v>0</v>
      </c>
    </row>
    <row r="38" spans="1:10">
      <c r="A38" t="str">
        <v>FEB</v>
      </c>
      <c r="B38" t="str">
        <v>Starters</v>
      </c>
      <c r="C38" t="str">
        <v>Mac &amp; Cheese</v>
      </c>
      <c r="D38" t="str">
        <v>Item</v>
      </c>
      <c r="E38">
        <v>6</v>
      </c>
      <c r="F38">
        <v>54</v>
      </c>
      <c r="G38">
        <v>54</v>
      </c>
      <c r="H38">
        <v>0</v>
      </c>
      <c r="I38">
        <v>54</v>
      </c>
      <c r="J38">
        <v>0</v>
      </c>
    </row>
    <row r="39" spans="1:10">
      <c r="A39" t="str">
        <v>FEB</v>
      </c>
      <c r="B39" t="str">
        <v>Starters</v>
      </c>
      <c r="C39" t="str">
        <v>Smoked Corn</v>
      </c>
      <c r="D39" t="str">
        <v>Item</v>
      </c>
      <c r="E39">
        <v>3</v>
      </c>
      <c r="F39">
        <v>27</v>
      </c>
      <c r="G39">
        <v>27</v>
      </c>
      <c r="H39">
        <v>0</v>
      </c>
      <c r="I39">
        <v>27</v>
      </c>
      <c r="J39">
        <v>0</v>
      </c>
    </row>
    <row r="40" spans="1:10">
      <c r="A40" t="str">
        <v>FEB</v>
      </c>
      <c r="B40" t="str">
        <v>Starters</v>
      </c>
      <c r="C40" t="str">
        <v>Caesar Salad</v>
      </c>
      <c r="D40" t="str">
        <v>Item</v>
      </c>
      <c r="E40">
        <v>1</v>
      </c>
      <c r="F40">
        <v>11</v>
      </c>
      <c r="G40">
        <v>11</v>
      </c>
      <c r="H40">
        <v>0</v>
      </c>
      <c r="I40">
        <v>11</v>
      </c>
      <c r="J40">
        <v>0</v>
      </c>
    </row>
    <row r="41" spans="1:10">
      <c r="A41" t="str">
        <v>FEB</v>
      </c>
      <c r="B41" t="str">
        <v>Starters</v>
      </c>
      <c r="C41" t="str">
        <v>Baked Beans</v>
      </c>
      <c r="D41" t="str">
        <v>Item</v>
      </c>
      <c r="E41">
        <v>5</v>
      </c>
      <c r="F41">
        <v>35</v>
      </c>
      <c r="G41">
        <v>35</v>
      </c>
      <c r="H41">
        <v>0</v>
      </c>
      <c r="I41">
        <v>35</v>
      </c>
      <c r="J41">
        <v>0</v>
      </c>
    </row>
    <row r="42" spans="1:10">
      <c r="A42" t="str">
        <v>FEB</v>
      </c>
      <c r="B42" t="str">
        <v>Starters</v>
      </c>
      <c r="C42" t="str">
        <v>Macaroni Salad</v>
      </c>
      <c r="D42" t="str">
        <v>Item</v>
      </c>
      <c r="E42">
        <v>1</v>
      </c>
      <c r="F42">
        <v>6</v>
      </c>
      <c r="G42">
        <v>6</v>
      </c>
      <c r="H42">
        <v>0</v>
      </c>
      <c r="I42">
        <v>6</v>
      </c>
      <c r="J42">
        <v>0</v>
      </c>
    </row>
    <row r="43" spans="1:10">
      <c r="A43" t="str">
        <v>FEB</v>
      </c>
      <c r="B43" t="str">
        <v>Starters</v>
      </c>
      <c r="C43" t="str">
        <v>Sweet Potato Fries</v>
      </c>
      <c r="D43" t="str">
        <v>Item</v>
      </c>
      <c r="E43">
        <v>2</v>
      </c>
      <c r="F43">
        <v>12</v>
      </c>
      <c r="G43">
        <v>12</v>
      </c>
      <c r="H43">
        <v>0</v>
      </c>
      <c r="I43">
        <v>12</v>
      </c>
      <c r="J43">
        <v>0</v>
      </c>
    </row>
    <row r="44" spans="1:10">
      <c r="A44" t="str">
        <v>FEB</v>
      </c>
      <c r="B44" t="str">
        <v>Starters</v>
      </c>
      <c r="C44" t="str">
        <v>Hand Cut Fries</v>
      </c>
      <c r="D44" t="str">
        <v>Item</v>
      </c>
      <c r="E44">
        <v>4</v>
      </c>
      <c r="F44">
        <v>16</v>
      </c>
      <c r="G44">
        <v>16</v>
      </c>
      <c r="H44">
        <v>0</v>
      </c>
      <c r="I44">
        <v>16</v>
      </c>
      <c r="J44">
        <v>0</v>
      </c>
    </row>
    <row r="45" spans="1:10">
      <c r="A45" t="str">
        <v>FEB</v>
      </c>
      <c r="B45" t="str">
        <v>Starters</v>
      </c>
      <c r="C45" t="str">
        <v>Mashed Potatoes</v>
      </c>
      <c r="D45" t="str">
        <v>Item</v>
      </c>
      <c r="E45">
        <v>2</v>
      </c>
      <c r="F45">
        <v>16</v>
      </c>
      <c r="G45">
        <v>16</v>
      </c>
      <c r="H45">
        <v>0</v>
      </c>
      <c r="I45">
        <v>16</v>
      </c>
      <c r="J45">
        <v>0</v>
      </c>
    </row>
    <row r="46" spans="1:10">
      <c r="A46" t="str">
        <v>FEB</v>
      </c>
      <c r="B46" t="str">
        <v>Starters</v>
      </c>
      <c r="C46" t="str">
        <v>Curly Fries</v>
      </c>
      <c r="D46" t="str">
        <v>Item</v>
      </c>
      <c r="E46">
        <v>5</v>
      </c>
      <c r="F46">
        <v>25</v>
      </c>
      <c r="G46">
        <v>25</v>
      </c>
      <c r="H46">
        <v>0</v>
      </c>
      <c r="I46">
        <v>25</v>
      </c>
      <c r="J46">
        <v>0</v>
      </c>
    </row>
    <row r="47" spans="1:10">
      <c r="A47" t="str">
        <v>FEB</v>
      </c>
      <c r="B47" t="str">
        <v>Starters</v>
      </c>
      <c r="C47" t="str">
        <v>Fried Shrimp</v>
      </c>
      <c r="D47" t="str">
        <v>Item</v>
      </c>
      <c r="E47">
        <v>7</v>
      </c>
      <c r="F47">
        <v>84</v>
      </c>
      <c r="G47">
        <v>84</v>
      </c>
      <c r="H47">
        <v>0</v>
      </c>
      <c r="I47">
        <v>84</v>
      </c>
      <c r="J47">
        <v>0</v>
      </c>
    </row>
    <row r="48" spans="1:10">
      <c r="A48" t="str">
        <v>FEB</v>
      </c>
      <c r="B48" t="str">
        <v>Starters</v>
      </c>
      <c r="C48" t="str">
        <v>Fried Pickles</v>
      </c>
      <c r="D48" t="str">
        <v>Item</v>
      </c>
      <c r="E48">
        <v>6</v>
      </c>
      <c r="F48">
        <v>42</v>
      </c>
      <c r="G48">
        <v>42</v>
      </c>
      <c r="H48">
        <v>0</v>
      </c>
      <c r="I48">
        <v>42</v>
      </c>
      <c r="J48">
        <v>0</v>
      </c>
    </row>
    <row r="49" spans="1:10">
      <c r="A49" t="str">
        <v>FEB</v>
      </c>
      <c r="B49" t="str">
        <v>Starters</v>
      </c>
      <c r="C49" t="str">
        <v>Creamy Coleslaw</v>
      </c>
      <c r="D49" t="str">
        <v>Item</v>
      </c>
      <c r="E49">
        <v>3</v>
      </c>
      <c r="F49">
        <v>18</v>
      </c>
      <c r="G49">
        <v>18</v>
      </c>
      <c r="H49">
        <v>0</v>
      </c>
      <c r="I49">
        <v>0</v>
      </c>
      <c r="J49">
        <v>0</v>
      </c>
    </row>
    <row r="50" spans="1:10">
      <c r="A50" t="str">
        <v>FEB</v>
      </c>
      <c r="B50" t="str">
        <v>Starters</v>
      </c>
      <c r="C50" t="str">
        <v>Mushroom Soup</v>
      </c>
      <c r="D50" t="str">
        <v>Item</v>
      </c>
      <c r="E50">
        <v>5</v>
      </c>
      <c r="F50">
        <v>45</v>
      </c>
      <c r="G50">
        <v>45</v>
      </c>
      <c r="H50">
        <v>0</v>
      </c>
      <c r="I50">
        <v>45</v>
      </c>
      <c r="J50">
        <v>0</v>
      </c>
    </row>
    <row r="51" spans="1:10">
      <c r="A51" t="str">
        <v>FEB</v>
      </c>
      <c r="B51" t="str">
        <v>Starters</v>
      </c>
      <c r="C51" t="str">
        <v>Rice</v>
      </c>
      <c r="D51" t="str">
        <v>Item</v>
      </c>
      <c r="E51">
        <v>3</v>
      </c>
      <c r="F51">
        <v>15</v>
      </c>
      <c r="G51">
        <v>15</v>
      </c>
      <c r="H51">
        <v>0</v>
      </c>
      <c r="I51">
        <v>15</v>
      </c>
      <c r="J51">
        <v>0</v>
      </c>
    </row>
    <row r="52" spans="1:10">
      <c r="A52" t="str">
        <v>FEB</v>
      </c>
      <c r="B52" t="str">
        <v>Starters</v>
      </c>
      <c r="C52" t="str">
        <v>Total</v>
      </c>
      <c r="D52" t="str">
        <v>Category Total</v>
      </c>
      <c r="E52">
        <v>53</v>
      </c>
      <c r="F52">
        <v>406</v>
      </c>
      <c r="G52">
        <v>406</v>
      </c>
      <c r="H52">
        <v>0</v>
      </c>
      <c r="I52">
        <v>388</v>
      </c>
      <c r="J52">
        <v>0</v>
      </c>
    </row>
    <row r="53" spans="1:10">
      <c r="A53" t="str">
        <v>FEB</v>
      </c>
      <c r="B53" t="str">
        <v>The Backyard Bites</v>
      </c>
      <c r="C53" t="str">
        <v>Brisket Poutine</v>
      </c>
      <c r="D53" t="str">
        <v>Item</v>
      </c>
      <c r="E53">
        <v>1</v>
      </c>
      <c r="F53">
        <v>19</v>
      </c>
      <c r="G53">
        <v>19</v>
      </c>
      <c r="H53">
        <v>0</v>
      </c>
      <c r="I53">
        <v>19</v>
      </c>
      <c r="J53">
        <v>0</v>
      </c>
    </row>
    <row r="54" spans="1:10">
      <c r="A54" t="str">
        <v>FEB</v>
      </c>
      <c r="B54" t="str">
        <v>The Backyard Bites</v>
      </c>
      <c r="C54" t="str">
        <v>Chuck Beef Sliders X3</v>
      </c>
      <c r="D54" t="str">
        <v>Item</v>
      </c>
      <c r="E54">
        <v>2</v>
      </c>
      <c r="F54">
        <v>36</v>
      </c>
      <c r="G54">
        <v>36</v>
      </c>
      <c r="H54">
        <v>0</v>
      </c>
      <c r="I54">
        <v>36</v>
      </c>
      <c r="J54">
        <v>0</v>
      </c>
    </row>
    <row r="55" spans="1:10">
      <c r="A55" t="str">
        <v>FEB</v>
      </c>
      <c r="B55" t="str">
        <v>The Backyard Bites</v>
      </c>
      <c r="C55" t="str">
        <v>Pulled Chicken Poutine</v>
      </c>
      <c r="D55" t="str">
        <v>Item</v>
      </c>
      <c r="E55">
        <v>3</v>
      </c>
      <c r="F55">
        <v>48</v>
      </c>
      <c r="G55">
        <v>48</v>
      </c>
      <c r="H55">
        <v>0</v>
      </c>
      <c r="I55">
        <v>48</v>
      </c>
      <c r="J55">
        <v>0</v>
      </c>
    </row>
    <row r="56" spans="1:10">
      <c r="A56" t="str">
        <v>FEB</v>
      </c>
      <c r="B56" t="str">
        <v>The Backyard Bites</v>
      </c>
      <c r="C56" t="str">
        <v>Regular Poutine</v>
      </c>
      <c r="D56" t="str">
        <v>Item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tr">
        <v>FEB</v>
      </c>
      <c r="B57" t="str">
        <v>The Backyard Bites</v>
      </c>
      <c r="C57" t="str">
        <v>Party Fries</v>
      </c>
      <c r="D57" t="str">
        <v>Item</v>
      </c>
      <c r="E57">
        <v>2</v>
      </c>
      <c r="F57">
        <v>38</v>
      </c>
      <c r="G57">
        <v>38</v>
      </c>
      <c r="H57">
        <v>0</v>
      </c>
      <c r="I57">
        <v>38</v>
      </c>
      <c r="J57">
        <v>0</v>
      </c>
    </row>
    <row r="58" spans="1:10">
      <c r="A58" t="str">
        <v>FEB</v>
      </c>
      <c r="B58" t="str">
        <v>The Backyard Bites</v>
      </c>
      <c r="C58" t="str">
        <v>Total</v>
      </c>
      <c r="D58" t="str">
        <v>Category Total</v>
      </c>
      <c r="E58">
        <v>8</v>
      </c>
      <c r="F58">
        <v>141</v>
      </c>
      <c r="G58">
        <v>141</v>
      </c>
      <c r="H58">
        <v>0</v>
      </c>
      <c r="I58">
        <v>141</v>
      </c>
      <c r="J58">
        <v>0</v>
      </c>
    </row>
    <row r="59" spans="1:10">
      <c r="A59" t="str">
        <v>FEB</v>
      </c>
      <c r="B59" t="str">
        <v>Specialty Mac &amp; Cheese</v>
      </c>
      <c r="C59" t="str">
        <v>Brisket Mac And Cheese</v>
      </c>
      <c r="D59" t="str">
        <v>Item</v>
      </c>
      <c r="E59">
        <v>18</v>
      </c>
      <c r="F59">
        <v>324</v>
      </c>
      <c r="G59">
        <v>324</v>
      </c>
      <c r="H59">
        <v>0</v>
      </c>
      <c r="I59">
        <v>324</v>
      </c>
      <c r="J59">
        <v>0</v>
      </c>
    </row>
    <row r="60" spans="1:10">
      <c r="A60" t="str">
        <v>FEB</v>
      </c>
      <c r="B60" t="str">
        <v>Specialty Mac &amp; Cheese</v>
      </c>
      <c r="C60" t="str">
        <v>Chicken Mac And Cheese</v>
      </c>
      <c r="D60" t="str">
        <v>Item</v>
      </c>
      <c r="E60">
        <v>2</v>
      </c>
      <c r="F60">
        <v>36</v>
      </c>
      <c r="G60">
        <v>36</v>
      </c>
      <c r="H60">
        <v>0</v>
      </c>
      <c r="I60">
        <v>36</v>
      </c>
      <c r="J60">
        <v>0</v>
      </c>
    </row>
    <row r="61" spans="1:10">
      <c r="A61" t="str">
        <v>FEB</v>
      </c>
      <c r="B61" t="str">
        <v>Specialty Mac &amp; Cheese</v>
      </c>
      <c r="C61" t="str">
        <v>Mushroom Mac and Cheese</v>
      </c>
      <c r="D61" t="str">
        <v>Item</v>
      </c>
      <c r="E61">
        <v>2</v>
      </c>
      <c r="F61">
        <v>36</v>
      </c>
      <c r="G61">
        <v>36</v>
      </c>
      <c r="H61">
        <v>0</v>
      </c>
      <c r="I61">
        <v>36</v>
      </c>
      <c r="J61">
        <v>0</v>
      </c>
    </row>
    <row r="62" spans="1:10">
      <c r="A62" t="str">
        <v>FEB</v>
      </c>
      <c r="B62" t="str">
        <v>Specialty Mac &amp; Cheese</v>
      </c>
      <c r="C62" t="str">
        <v>Total</v>
      </c>
      <c r="D62" t="str">
        <v>Category Total</v>
      </c>
      <c r="E62">
        <v>22</v>
      </c>
      <c r="F62">
        <v>396</v>
      </c>
      <c r="G62">
        <v>396</v>
      </c>
      <c r="H62">
        <v>0</v>
      </c>
      <c r="I62">
        <v>396</v>
      </c>
      <c r="J62">
        <v>0</v>
      </c>
    </row>
    <row r="63" spans="1:10">
      <c r="A63" t="str">
        <v>FEB</v>
      </c>
      <c r="B63" t="str">
        <v>Kids Yard</v>
      </c>
      <c r="C63" t="str">
        <v>Tenders &amp; Fries</v>
      </c>
      <c r="D63" t="str">
        <v>Item</v>
      </c>
      <c r="E63">
        <v>3</v>
      </c>
      <c r="F63">
        <v>54</v>
      </c>
      <c r="G63">
        <v>54</v>
      </c>
      <c r="H63">
        <v>0</v>
      </c>
      <c r="I63">
        <v>54</v>
      </c>
      <c r="J63">
        <v>0</v>
      </c>
    </row>
    <row r="64" spans="1:10">
      <c r="A64" t="str">
        <v>FEB</v>
      </c>
      <c r="B64" t="str">
        <v>Kids Yard</v>
      </c>
      <c r="C64" t="str">
        <v>Sliders &amp; Sides</v>
      </c>
      <c r="D64" t="str">
        <v>Item</v>
      </c>
      <c r="E64">
        <v>3</v>
      </c>
      <c r="F64">
        <v>54</v>
      </c>
      <c r="G64">
        <v>54</v>
      </c>
      <c r="H64">
        <v>0</v>
      </c>
      <c r="I64">
        <v>54</v>
      </c>
      <c r="J64">
        <v>0</v>
      </c>
    </row>
    <row r="65" spans="1:10">
      <c r="A65" t="str">
        <v>FEB</v>
      </c>
      <c r="B65" t="str">
        <v>Kids Yard</v>
      </c>
      <c r="C65" t="str">
        <v>Total</v>
      </c>
      <c r="D65" t="str">
        <v>Category Total</v>
      </c>
      <c r="E65">
        <v>6</v>
      </c>
      <c r="F65">
        <v>108</v>
      </c>
      <c r="G65">
        <v>108</v>
      </c>
      <c r="H65">
        <v>0</v>
      </c>
      <c r="I65">
        <v>108</v>
      </c>
      <c r="J65">
        <v>0</v>
      </c>
    </row>
    <row r="66" spans="1:10">
      <c r="A66" t="str">
        <v>FEB</v>
      </c>
      <c r="B66" t="str">
        <v>Guilty Pleasures</v>
      </c>
      <c r="C66" t="str">
        <v>Corn Bread</v>
      </c>
      <c r="D66" t="str">
        <v>Item</v>
      </c>
      <c r="E66">
        <v>4</v>
      </c>
      <c r="F66">
        <v>20</v>
      </c>
      <c r="G66">
        <v>20</v>
      </c>
      <c r="H66">
        <v>0</v>
      </c>
      <c r="I66">
        <v>20</v>
      </c>
      <c r="J66">
        <v>0</v>
      </c>
    </row>
    <row r="67" spans="1:10">
      <c r="A67" t="str">
        <v>FEB</v>
      </c>
      <c r="B67" t="str">
        <v>Guilty Pleasures</v>
      </c>
      <c r="C67" t="str">
        <v>Garlic Bread</v>
      </c>
      <c r="D67" t="str">
        <v>Item</v>
      </c>
      <c r="E67">
        <v>1</v>
      </c>
      <c r="F67">
        <v>4</v>
      </c>
      <c r="G67">
        <v>4</v>
      </c>
      <c r="H67">
        <v>0</v>
      </c>
      <c r="I67">
        <v>4</v>
      </c>
      <c r="J67">
        <v>0</v>
      </c>
    </row>
    <row r="68" spans="1:10">
      <c r="A68" t="str">
        <v>FEB</v>
      </c>
      <c r="B68" t="str">
        <v>Guilty Pleasures</v>
      </c>
      <c r="C68" t="str">
        <v>Baby Roasted Potatoes</v>
      </c>
      <c r="D68" t="str">
        <v>Item</v>
      </c>
      <c r="E68">
        <v>2</v>
      </c>
      <c r="F68">
        <v>10</v>
      </c>
      <c r="G68">
        <v>10</v>
      </c>
      <c r="H68">
        <v>0</v>
      </c>
      <c r="I68">
        <v>10</v>
      </c>
      <c r="J68">
        <v>0</v>
      </c>
    </row>
    <row r="69" spans="1:10">
      <c r="A69" t="str">
        <v>FEB</v>
      </c>
      <c r="B69" t="str">
        <v>Guilty Pleasures</v>
      </c>
      <c r="C69" t="str">
        <v>Mushroom Confit</v>
      </c>
      <c r="D69" t="str">
        <v>Item</v>
      </c>
      <c r="E69">
        <v>2</v>
      </c>
      <c r="F69">
        <v>10</v>
      </c>
      <c r="G69">
        <v>10</v>
      </c>
      <c r="H69">
        <v>0</v>
      </c>
      <c r="I69">
        <v>10</v>
      </c>
      <c r="J69">
        <v>0</v>
      </c>
    </row>
    <row r="70" spans="1:10">
      <c r="A70" t="str">
        <v>FEB</v>
      </c>
      <c r="B70" t="str">
        <v>Guilty Pleasures</v>
      </c>
      <c r="C70" t="str">
        <v>Total</v>
      </c>
      <c r="D70" t="str">
        <v>Category Total</v>
      </c>
      <c r="E70">
        <v>9</v>
      </c>
      <c r="F70">
        <v>44</v>
      </c>
      <c r="G70">
        <v>44</v>
      </c>
      <c r="H70">
        <v>0</v>
      </c>
      <c r="I70">
        <v>44</v>
      </c>
      <c r="J70">
        <v>0</v>
      </c>
    </row>
    <row r="71" spans="1:10">
      <c r="A71" t="str">
        <v>FEB</v>
      </c>
      <c r="B71" t="str">
        <v>The Chic Yard</v>
      </c>
      <c r="C71" t="str">
        <v>1lb Chicken Wings</v>
      </c>
      <c r="D71" t="str">
        <v>Item</v>
      </c>
      <c r="E71">
        <v>8</v>
      </c>
      <c r="F71">
        <v>159.91999999999999</v>
      </c>
      <c r="G71">
        <v>159.91999999999999</v>
      </c>
      <c r="H71">
        <v>0</v>
      </c>
      <c r="I71">
        <v>159.91999999999999</v>
      </c>
      <c r="J71">
        <v>0</v>
      </c>
    </row>
    <row r="72" spans="1:10">
      <c r="A72" t="str">
        <v>FEB</v>
      </c>
      <c r="B72" t="str">
        <v>The Chic Yard</v>
      </c>
      <c r="C72" t="str">
        <v>Chicken Strips</v>
      </c>
      <c r="D72" t="str">
        <v>Item</v>
      </c>
      <c r="E72">
        <v>3</v>
      </c>
      <c r="F72">
        <v>59.97</v>
      </c>
      <c r="G72">
        <v>59.97</v>
      </c>
      <c r="H72">
        <v>0</v>
      </c>
      <c r="I72">
        <v>59.97</v>
      </c>
      <c r="J72">
        <v>0</v>
      </c>
    </row>
    <row r="73" spans="1:10">
      <c r="A73" t="str">
        <v>FEB</v>
      </c>
      <c r="B73" t="str">
        <v>The Chic Yard</v>
      </c>
      <c r="C73" t="str">
        <v>Total</v>
      </c>
      <c r="D73" t="str">
        <v>Category Total</v>
      </c>
      <c r="E73">
        <v>11</v>
      </c>
      <c r="F73">
        <v>219.89</v>
      </c>
      <c r="G73">
        <v>219.89</v>
      </c>
      <c r="H73">
        <v>0</v>
      </c>
      <c r="I73">
        <v>219.89</v>
      </c>
      <c r="J73">
        <v>0</v>
      </c>
    </row>
    <row r="74" spans="1:10">
      <c r="A74" t="str">
        <v>FEB</v>
      </c>
      <c r="B74" t="str">
        <v>Desserts</v>
      </c>
      <c r="C74" t="str">
        <v>Molten Lava Cake</v>
      </c>
      <c r="D74" t="str">
        <v>Item</v>
      </c>
      <c r="E74">
        <v>9</v>
      </c>
      <c r="F74">
        <v>117</v>
      </c>
      <c r="G74">
        <v>117</v>
      </c>
      <c r="H74">
        <v>0</v>
      </c>
      <c r="I74">
        <v>117</v>
      </c>
      <c r="J74">
        <v>0</v>
      </c>
    </row>
    <row r="75" spans="1:10">
      <c r="A75" t="str">
        <v>FEB</v>
      </c>
      <c r="B75" t="str">
        <v>Desserts</v>
      </c>
      <c r="C75" t="str">
        <v>Sweet Cornbread</v>
      </c>
      <c r="D75" t="str">
        <v>Item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tr">
        <v>FEB</v>
      </c>
      <c r="B76" t="str">
        <v>Desserts</v>
      </c>
      <c r="C76" t="str">
        <v>Ice Cream</v>
      </c>
      <c r="D76" t="str">
        <v>Item</v>
      </c>
      <c r="E76">
        <v>3</v>
      </c>
      <c r="F76">
        <v>12</v>
      </c>
      <c r="G76">
        <v>12</v>
      </c>
      <c r="H76">
        <v>0</v>
      </c>
      <c r="I76">
        <v>12</v>
      </c>
      <c r="J76" t="str">
        <v>Vanilla+Strawberry</v>
      </c>
    </row>
    <row r="77" spans="1:10">
      <c r="A77" t="str">
        <v>FEB</v>
      </c>
      <c r="B77" t="str">
        <v>Desserts</v>
      </c>
      <c r="C77" t="str">
        <v>Total</v>
      </c>
      <c r="D77" t="str">
        <v>Category Total</v>
      </c>
      <c r="E77">
        <v>12</v>
      </c>
      <c r="F77">
        <v>129</v>
      </c>
      <c r="G77">
        <v>129</v>
      </c>
      <c r="H77">
        <v>0</v>
      </c>
      <c r="I77">
        <v>129</v>
      </c>
      <c r="J77">
        <v>0</v>
      </c>
    </row>
    <row r="78" spans="1:10">
      <c r="A78" t="str">
        <v>FEB</v>
      </c>
      <c r="B78" t="str">
        <v>Sauces</v>
      </c>
      <c r="C78" t="str">
        <v>Cheese Sauce</v>
      </c>
      <c r="D78" t="str">
        <v>Item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tr">
        <v>FEB</v>
      </c>
      <c r="B79" t="str">
        <v>Sauces</v>
      </c>
      <c r="C79" t="str">
        <v>Gravy</v>
      </c>
      <c r="D79" t="str">
        <v>Item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tr">
        <v>FEB</v>
      </c>
      <c r="B80" t="str">
        <v>Sauces</v>
      </c>
      <c r="C80" t="str">
        <v>BKYD Sauce</v>
      </c>
      <c r="D80" t="str">
        <v>Item</v>
      </c>
      <c r="E80">
        <v>1</v>
      </c>
      <c r="F80">
        <v>1</v>
      </c>
      <c r="G80">
        <v>1</v>
      </c>
      <c r="H80">
        <v>0</v>
      </c>
      <c r="I80">
        <v>1</v>
      </c>
      <c r="J80">
        <v>0</v>
      </c>
    </row>
    <row r="81" spans="1:10">
      <c r="A81" t="str">
        <v>FEB</v>
      </c>
      <c r="B81" t="str">
        <v>Sauces</v>
      </c>
      <c r="C81" t="str">
        <v>Chipotle Mayo</v>
      </c>
      <c r="D81" t="str">
        <v>Item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</row>
    <row r="82" spans="1:10">
      <c r="A82" t="str">
        <v>FEB</v>
      </c>
      <c r="B82" t="str">
        <v>Sauces</v>
      </c>
      <c r="C82" t="str">
        <v>Garlic Mayo</v>
      </c>
      <c r="D82" t="str">
        <v>Item</v>
      </c>
      <c r="E82">
        <v>1</v>
      </c>
      <c r="F82">
        <v>1</v>
      </c>
      <c r="G82">
        <v>1</v>
      </c>
      <c r="H82">
        <v>0</v>
      </c>
      <c r="I82">
        <v>1</v>
      </c>
      <c r="J82">
        <v>0</v>
      </c>
    </row>
    <row r="83" spans="1:10">
      <c r="A83" t="str">
        <v>FEB</v>
      </c>
      <c r="B83" t="str">
        <v>Sauces</v>
      </c>
      <c r="C83" t="str">
        <v>Gold Sauce</v>
      </c>
      <c r="D83" t="str">
        <v>Item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tr">
        <v>FEB</v>
      </c>
      <c r="B84" t="str">
        <v>Sauces</v>
      </c>
      <c r="C84" t="str">
        <v>Honey</v>
      </c>
      <c r="D84" t="str">
        <v>Item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tr">
        <v>FEB</v>
      </c>
      <c r="B85" t="str">
        <v>Sauces</v>
      </c>
      <c r="C85" t="str">
        <v>Hot Sauce</v>
      </c>
      <c r="D85" t="str">
        <v>Item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tr">
        <v>FEB</v>
      </c>
      <c r="B86" t="str">
        <v>Sauces</v>
      </c>
      <c r="C86" t="str">
        <v>BBQ Sauce</v>
      </c>
      <c r="D86" t="str">
        <v>Item</v>
      </c>
      <c r="E86">
        <v>1</v>
      </c>
      <c r="F86">
        <v>1</v>
      </c>
      <c r="G86">
        <v>1</v>
      </c>
      <c r="H86">
        <v>0</v>
      </c>
      <c r="I86">
        <v>1</v>
      </c>
      <c r="J86">
        <v>0</v>
      </c>
    </row>
    <row r="87" spans="1:10">
      <c r="A87" t="str">
        <v>FEB</v>
      </c>
      <c r="B87" t="str">
        <v>Sauces</v>
      </c>
      <c r="C87" t="str">
        <v>Total</v>
      </c>
      <c r="D87" t="str">
        <v>Category Total</v>
      </c>
      <c r="E87">
        <v>4</v>
      </c>
      <c r="F87">
        <v>4</v>
      </c>
      <c r="G87">
        <v>4</v>
      </c>
      <c r="H87">
        <v>0</v>
      </c>
      <c r="I87">
        <v>4</v>
      </c>
      <c r="J87">
        <v>0</v>
      </c>
    </row>
    <row r="88" spans="1:10">
      <c r="A88" t="str">
        <v>FEB</v>
      </c>
      <c r="B88" t="str">
        <v>All</v>
      </c>
      <c r="C88" t="str">
        <v>Grand Total</v>
      </c>
      <c r="D88" t="str">
        <v>Category Total</v>
      </c>
      <c r="E88">
        <v>417</v>
      </c>
      <c r="F88">
        <v>11871.75</v>
      </c>
      <c r="G88">
        <v>11798.25</v>
      </c>
      <c r="H88">
        <v>73.5</v>
      </c>
      <c r="I88">
        <v>11853.75</v>
      </c>
      <c r="J88">
        <v>0</v>
      </c>
    </row>
    <row r="89" spans="1:10">
      <c r="A89" t="str">
        <v>MAR</v>
      </c>
      <c r="B89" t="str">
        <v>BBQ Platters</v>
      </c>
      <c r="C89" t="str">
        <v>Three Yard</v>
      </c>
      <c r="D89" t="str">
        <v>Item</v>
      </c>
      <c r="E89">
        <v>314</v>
      </c>
      <c r="F89">
        <v>34192</v>
      </c>
      <c r="G89">
        <v>33912</v>
      </c>
      <c r="H89">
        <v>280</v>
      </c>
      <c r="I89">
        <v>34192</v>
      </c>
      <c r="J89">
        <v>0</v>
      </c>
    </row>
    <row r="90" spans="1:10">
      <c r="A90" t="str">
        <v>MAR</v>
      </c>
      <c r="B90" t="str">
        <v>BBQ Platters</v>
      </c>
      <c r="C90" t="str">
        <v>Six Yard</v>
      </c>
      <c r="D90" t="str">
        <v>Item</v>
      </c>
      <c r="E90">
        <v>96</v>
      </c>
      <c r="F90">
        <v>19097</v>
      </c>
      <c r="G90">
        <v>19008</v>
      </c>
      <c r="H90">
        <v>89</v>
      </c>
      <c r="I90">
        <v>19097</v>
      </c>
      <c r="J90">
        <v>0</v>
      </c>
    </row>
    <row r="91" spans="1:10">
      <c r="A91" t="str">
        <v>MAR</v>
      </c>
      <c r="B91" t="str">
        <v>BBQ Platters</v>
      </c>
      <c r="C91" t="str">
        <v>Nine Yard</v>
      </c>
      <c r="D91" t="str">
        <v>Item</v>
      </c>
      <c r="E91">
        <v>39</v>
      </c>
      <c r="F91">
        <v>11622</v>
      </c>
      <c r="G91">
        <v>11622</v>
      </c>
      <c r="H91">
        <v>0</v>
      </c>
      <c r="I91">
        <v>11622</v>
      </c>
      <c r="J91">
        <v>0</v>
      </c>
    </row>
    <row r="92" spans="1:10">
      <c r="A92" t="str">
        <v>MAR</v>
      </c>
      <c r="B92" t="str">
        <v>BBQ Platters</v>
      </c>
      <c r="C92" t="str">
        <v>Total</v>
      </c>
      <c r="D92" t="str">
        <v>Category Total</v>
      </c>
      <c r="E92">
        <v>449</v>
      </c>
      <c r="F92">
        <v>64911</v>
      </c>
      <c r="G92">
        <v>64542</v>
      </c>
      <c r="H92">
        <v>369</v>
      </c>
      <c r="I92">
        <v>64911</v>
      </c>
      <c r="J92">
        <v>0</v>
      </c>
    </row>
    <row r="93" spans="1:10">
      <c r="A93" t="str">
        <v>MAR</v>
      </c>
      <c r="B93" t="str">
        <v>Smoke Yard</v>
      </c>
      <c r="C93" t="str">
        <v>Beef Back Ribs</v>
      </c>
      <c r="D93" t="str">
        <v>Item</v>
      </c>
      <c r="E93">
        <v>137</v>
      </c>
      <c r="F93">
        <v>4932</v>
      </c>
      <c r="G93">
        <v>4932</v>
      </c>
      <c r="H93">
        <v>0</v>
      </c>
      <c r="I93">
        <v>4932</v>
      </c>
      <c r="J93">
        <v>0</v>
      </c>
    </row>
    <row r="94" spans="1:10">
      <c r="A94" t="str">
        <v>MAR</v>
      </c>
      <c r="B94" t="str">
        <v>Smoke Yard</v>
      </c>
      <c r="C94" t="str">
        <v>Short Ribs</v>
      </c>
      <c r="D94" t="str">
        <v>Item</v>
      </c>
      <c r="E94">
        <v>54</v>
      </c>
      <c r="F94">
        <v>2970</v>
      </c>
      <c r="G94">
        <v>2970</v>
      </c>
      <c r="H94">
        <v>0</v>
      </c>
      <c r="I94">
        <v>2970</v>
      </c>
      <c r="J94">
        <v>0</v>
      </c>
    </row>
    <row r="95" spans="1:10">
      <c r="A95" t="str">
        <v>MAR</v>
      </c>
      <c r="B95" t="str">
        <v>Smoke Yard</v>
      </c>
      <c r="C95" t="str">
        <v>Brisket</v>
      </c>
      <c r="D95" t="str">
        <v>Item</v>
      </c>
      <c r="E95">
        <v>128</v>
      </c>
      <c r="F95">
        <v>6016</v>
      </c>
      <c r="G95">
        <v>6016</v>
      </c>
      <c r="H95">
        <v>0</v>
      </c>
      <c r="I95">
        <v>6016</v>
      </c>
      <c r="J95">
        <v>0</v>
      </c>
    </row>
    <row r="96" spans="1:10">
      <c r="A96" t="str">
        <v>MAR</v>
      </c>
      <c r="B96" t="str">
        <v>Smoke Yard</v>
      </c>
      <c r="C96" t="str">
        <v>Lamb Shank</v>
      </c>
      <c r="D96" t="str">
        <v>Item</v>
      </c>
      <c r="E96">
        <v>39</v>
      </c>
      <c r="F96">
        <v>1404</v>
      </c>
      <c r="G96">
        <v>1404</v>
      </c>
      <c r="H96">
        <v>0</v>
      </c>
      <c r="I96">
        <v>1404</v>
      </c>
      <c r="J96">
        <v>0</v>
      </c>
    </row>
    <row r="97" spans="1:10">
      <c r="A97" t="str">
        <v>MAR</v>
      </c>
      <c r="B97" t="str">
        <v>Smoke Yard</v>
      </c>
      <c r="C97" t="str">
        <v>Chicken Quarters</v>
      </c>
      <c r="D97" t="str">
        <v>Item</v>
      </c>
      <c r="E97">
        <v>15</v>
      </c>
      <c r="F97">
        <v>375</v>
      </c>
      <c r="G97">
        <v>375</v>
      </c>
      <c r="H97">
        <v>0</v>
      </c>
      <c r="I97">
        <v>375</v>
      </c>
      <c r="J97">
        <v>0</v>
      </c>
    </row>
    <row r="98" spans="1:10">
      <c r="A98" t="str">
        <v>MAR</v>
      </c>
      <c r="B98" t="str">
        <v>Smoke Yard</v>
      </c>
      <c r="C98" t="str">
        <v>Whole Smoked Chicken</v>
      </c>
      <c r="D98" t="str">
        <v>Item</v>
      </c>
      <c r="E98">
        <v>21</v>
      </c>
      <c r="F98">
        <v>735</v>
      </c>
      <c r="G98">
        <v>735</v>
      </c>
      <c r="H98">
        <v>0</v>
      </c>
      <c r="I98">
        <v>735</v>
      </c>
      <c r="J98">
        <v>0</v>
      </c>
    </row>
    <row r="99" spans="1:10">
      <c r="A99" t="str">
        <v>MAR</v>
      </c>
      <c r="B99" t="str">
        <v>Smoke Yard</v>
      </c>
      <c r="C99" t="str">
        <v>Pulled Chuck</v>
      </c>
      <c r="D99" t="str">
        <v>Item</v>
      </c>
      <c r="E99">
        <v>20</v>
      </c>
      <c r="F99">
        <v>400</v>
      </c>
      <c r="G99">
        <v>400</v>
      </c>
      <c r="H99">
        <v>0</v>
      </c>
      <c r="I99">
        <v>400</v>
      </c>
      <c r="J99">
        <v>0</v>
      </c>
    </row>
    <row r="100" spans="1:10">
      <c r="A100" t="str">
        <v>MAR</v>
      </c>
      <c r="B100" t="str">
        <v>Smoke Yard</v>
      </c>
      <c r="C100" t="str">
        <v>Smoked Sausages (5 Pcs)</v>
      </c>
      <c r="D100" t="str">
        <v>Item</v>
      </c>
      <c r="E100">
        <v>28</v>
      </c>
      <c r="F100">
        <v>560</v>
      </c>
      <c r="G100">
        <v>560</v>
      </c>
      <c r="H100">
        <v>0</v>
      </c>
      <c r="I100">
        <v>560</v>
      </c>
      <c r="J100">
        <v>0</v>
      </c>
    </row>
    <row r="101" spans="1:10">
      <c r="A101" t="str">
        <v>MAR</v>
      </c>
      <c r="B101" t="str">
        <v>Smoke Yard</v>
      </c>
      <c r="C101" t="str">
        <v>Total</v>
      </c>
      <c r="D101" t="str">
        <v>Category Total</v>
      </c>
      <c r="E101">
        <v>442</v>
      </c>
      <c r="F101">
        <v>17392</v>
      </c>
      <c r="G101">
        <v>17392</v>
      </c>
      <c r="H101">
        <v>0</v>
      </c>
      <c r="I101">
        <v>17392</v>
      </c>
      <c r="J101">
        <v>0</v>
      </c>
    </row>
    <row r="102" spans="1:10">
      <c r="A102" t="str">
        <v>MAR</v>
      </c>
      <c r="B102" t="str">
        <v>The Bun Yard</v>
      </c>
      <c r="C102" t="str">
        <v>The Backyard Burger</v>
      </c>
      <c r="D102" t="str">
        <v>Item</v>
      </c>
      <c r="E102">
        <v>250</v>
      </c>
      <c r="F102">
        <v>5022.5</v>
      </c>
      <c r="G102">
        <v>5000</v>
      </c>
      <c r="H102">
        <v>22.5</v>
      </c>
      <c r="I102">
        <v>5022.5</v>
      </c>
      <c r="J102">
        <v>0</v>
      </c>
    </row>
    <row r="103" spans="1:10">
      <c r="A103" t="str">
        <v>MAR</v>
      </c>
      <c r="B103" t="str">
        <v>The Bun Yard</v>
      </c>
      <c r="C103" t="str">
        <v>Brisket Beef Burger</v>
      </c>
      <c r="D103" t="str">
        <v>Item</v>
      </c>
      <c r="E103">
        <v>197</v>
      </c>
      <c r="F103">
        <v>4923.03</v>
      </c>
      <c r="G103">
        <v>4923.03</v>
      </c>
      <c r="H103">
        <v>0</v>
      </c>
      <c r="I103">
        <v>4923.03</v>
      </c>
      <c r="J103">
        <v>0</v>
      </c>
    </row>
    <row r="104" spans="1:10">
      <c r="A104" t="str">
        <v>MAR</v>
      </c>
      <c r="B104" t="str">
        <v>The Bun Yard</v>
      </c>
      <c r="C104" t="str">
        <v>The Chef Yard Burger</v>
      </c>
      <c r="D104" t="str">
        <v>Item</v>
      </c>
      <c r="E104">
        <v>98</v>
      </c>
      <c r="F104">
        <v>2156</v>
      </c>
      <c r="G104">
        <v>2156</v>
      </c>
      <c r="H104">
        <v>0</v>
      </c>
      <c r="I104">
        <v>2156</v>
      </c>
      <c r="J104">
        <v>0</v>
      </c>
    </row>
    <row r="105" spans="1:10">
      <c r="A105" t="str">
        <v>MAR</v>
      </c>
      <c r="B105" t="str">
        <v>The Bun Yard</v>
      </c>
      <c r="C105" t="str">
        <v>Cheeseyard Burger</v>
      </c>
      <c r="D105" t="str">
        <v>Item</v>
      </c>
      <c r="E105">
        <v>30</v>
      </c>
      <c r="F105">
        <v>660</v>
      </c>
      <c r="G105">
        <v>660</v>
      </c>
      <c r="H105">
        <v>0</v>
      </c>
      <c r="I105">
        <v>660</v>
      </c>
      <c r="J105">
        <v>0</v>
      </c>
    </row>
    <row r="106" spans="1:10">
      <c r="A106" t="str">
        <v>MAR</v>
      </c>
      <c r="B106" t="str">
        <v>The Bun Yard</v>
      </c>
      <c r="C106" t="str">
        <v>Nashville Hen Sandwich</v>
      </c>
      <c r="D106" t="str">
        <v>Item</v>
      </c>
      <c r="E106">
        <v>58</v>
      </c>
      <c r="F106">
        <v>1160</v>
      </c>
      <c r="G106">
        <v>1160</v>
      </c>
      <c r="H106">
        <v>0</v>
      </c>
      <c r="I106">
        <v>1160</v>
      </c>
      <c r="J106">
        <v>0</v>
      </c>
    </row>
    <row r="107" spans="1:10">
      <c r="A107" t="str">
        <v>MAR</v>
      </c>
      <c r="B107" t="str">
        <v>The Bun Yard</v>
      </c>
      <c r="C107" t="str">
        <v>Pulled Beef Sandwich</v>
      </c>
      <c r="D107" t="str">
        <v>Item</v>
      </c>
      <c r="E107">
        <v>115</v>
      </c>
      <c r="F107">
        <v>2530</v>
      </c>
      <c r="G107">
        <v>2530</v>
      </c>
      <c r="H107">
        <v>0</v>
      </c>
      <c r="I107">
        <v>2530</v>
      </c>
      <c r="J107">
        <v>0</v>
      </c>
    </row>
    <row r="108" spans="1:10">
      <c r="A108" t="str">
        <v>MAR</v>
      </c>
      <c r="B108" t="str">
        <v>The Bun Yard</v>
      </c>
      <c r="C108" t="str">
        <v>Holy Hen Sandwich</v>
      </c>
      <c r="D108" t="str">
        <v>Item</v>
      </c>
      <c r="E108">
        <v>53</v>
      </c>
      <c r="F108">
        <v>1007</v>
      </c>
      <c r="G108">
        <v>1007</v>
      </c>
      <c r="H108">
        <v>0</v>
      </c>
      <c r="I108">
        <v>1007</v>
      </c>
      <c r="J108">
        <v>0</v>
      </c>
    </row>
    <row r="109" spans="1:10">
      <c r="A109" t="str">
        <v>MAR</v>
      </c>
      <c r="B109" t="str">
        <v>The Bun Yard</v>
      </c>
      <c r="C109" t="str">
        <v>Pulled Smoked Chicken</v>
      </c>
      <c r="D109" t="str">
        <v>Item</v>
      </c>
      <c r="E109">
        <v>37</v>
      </c>
      <c r="F109">
        <v>703</v>
      </c>
      <c r="G109">
        <v>703</v>
      </c>
      <c r="H109">
        <v>0</v>
      </c>
      <c r="I109">
        <v>703</v>
      </c>
      <c r="J109">
        <v>0</v>
      </c>
    </row>
    <row r="110" spans="1:10">
      <c r="A110" t="str">
        <v>MAR</v>
      </c>
      <c r="B110" t="str">
        <v>The Bun Yard</v>
      </c>
      <c r="C110" t="str">
        <v>Total</v>
      </c>
      <c r="D110" t="str">
        <v>Category Total</v>
      </c>
      <c r="E110">
        <v>838</v>
      </c>
      <c r="F110">
        <v>18161.53</v>
      </c>
      <c r="G110">
        <v>18139.03</v>
      </c>
      <c r="H110">
        <v>22.5</v>
      </c>
      <c r="I110">
        <v>18161.53</v>
      </c>
      <c r="J110">
        <v>0</v>
      </c>
    </row>
    <row r="111" spans="1:10">
      <c r="A111" t="str">
        <v>MAR</v>
      </c>
      <c r="B111" t="str">
        <v>Drinks</v>
      </c>
      <c r="C111" t="str">
        <v>Mango Strawberry Lemonade</v>
      </c>
      <c r="D111" t="str">
        <v>Item</v>
      </c>
      <c r="E111">
        <v>205</v>
      </c>
      <c r="F111">
        <v>1435</v>
      </c>
      <c r="G111">
        <v>1435</v>
      </c>
      <c r="H111">
        <v>0</v>
      </c>
      <c r="I111">
        <v>1435</v>
      </c>
      <c r="J111">
        <v>0</v>
      </c>
    </row>
    <row r="112" spans="1:10">
      <c r="A112" t="str">
        <v>MAR</v>
      </c>
      <c r="B112" t="str">
        <v>Drinks</v>
      </c>
      <c r="C112" t="str">
        <v>Mocktails</v>
      </c>
      <c r="D112" t="str">
        <v>Item</v>
      </c>
      <c r="E112">
        <v>139</v>
      </c>
      <c r="F112">
        <v>1413</v>
      </c>
      <c r="G112">
        <v>1413</v>
      </c>
      <c r="H112">
        <v>0</v>
      </c>
      <c r="I112">
        <v>1413</v>
      </c>
      <c r="J112" t="str">
        <v>grouped by modifiers</v>
      </c>
    </row>
    <row r="113" spans="1:10">
      <c r="A113" t="str">
        <v>MAR</v>
      </c>
      <c r="B113" t="str">
        <v>Drinks</v>
      </c>
      <c r="C113" t="str">
        <v>Blackberry Pineapple Lemonade</v>
      </c>
      <c r="D113" t="str">
        <v>Item</v>
      </c>
      <c r="E113">
        <v>75</v>
      </c>
      <c r="F113">
        <v>525</v>
      </c>
      <c r="G113">
        <v>525</v>
      </c>
      <c r="H113">
        <v>0</v>
      </c>
      <c r="I113">
        <v>525</v>
      </c>
      <c r="J113">
        <v>0</v>
      </c>
    </row>
    <row r="114" spans="1:10">
      <c r="A114" t="str">
        <v>MAR</v>
      </c>
      <c r="B114" t="str">
        <v>Drinks</v>
      </c>
      <c r="C114" t="str">
        <v>Diet Coke</v>
      </c>
      <c r="D114" t="str">
        <v>Item</v>
      </c>
      <c r="E114">
        <v>147</v>
      </c>
      <c r="F114">
        <v>626.5</v>
      </c>
      <c r="G114">
        <v>514.5</v>
      </c>
      <c r="H114">
        <v>112</v>
      </c>
      <c r="I114">
        <v>626.5</v>
      </c>
      <c r="J114" t="str">
        <v>Diet coke + Diet pepsi</v>
      </c>
    </row>
    <row r="115" spans="1:10">
      <c r="A115" t="str">
        <v>MAR</v>
      </c>
      <c r="B115" t="str">
        <v>Drinks</v>
      </c>
      <c r="C115" t="str">
        <v>Mint Lemonade</v>
      </c>
      <c r="D115" t="str">
        <v>Item</v>
      </c>
      <c r="E115">
        <v>96</v>
      </c>
      <c r="F115">
        <v>672</v>
      </c>
      <c r="G115">
        <v>672</v>
      </c>
      <c r="H115">
        <v>0</v>
      </c>
      <c r="I115">
        <v>672</v>
      </c>
      <c r="J115">
        <v>0</v>
      </c>
    </row>
    <row r="116" spans="1:10">
      <c r="A116" t="str">
        <v>MAR</v>
      </c>
      <c r="B116" t="str">
        <v>Drinks</v>
      </c>
      <c r="C116" t="str">
        <v>Milkshakes</v>
      </c>
      <c r="D116" t="str">
        <v>Item</v>
      </c>
      <c r="E116">
        <v>79</v>
      </c>
      <c r="F116">
        <v>851</v>
      </c>
      <c r="G116">
        <v>851</v>
      </c>
      <c r="H116">
        <v>0</v>
      </c>
      <c r="I116">
        <v>851</v>
      </c>
      <c r="J116" t="str">
        <v>grouped by modifiers | uncat</v>
      </c>
    </row>
    <row r="117" spans="1:10">
      <c r="A117" t="str">
        <v>MAR</v>
      </c>
      <c r="B117" t="str">
        <v>Drinks</v>
      </c>
      <c r="C117" t="str">
        <v>Canada Dry</v>
      </c>
      <c r="D117" t="str">
        <v>Item</v>
      </c>
      <c r="E117">
        <v>72</v>
      </c>
      <c r="F117">
        <v>311.5</v>
      </c>
      <c r="G117">
        <v>252</v>
      </c>
      <c r="H117">
        <v>59.5</v>
      </c>
      <c r="I117">
        <v>311.5</v>
      </c>
      <c r="J117">
        <v>0</v>
      </c>
    </row>
    <row r="118" spans="1:10">
      <c r="A118" t="str">
        <v>MAR</v>
      </c>
      <c r="B118" t="str">
        <v>Drinks</v>
      </c>
      <c r="C118" t="str">
        <v>Coke</v>
      </c>
      <c r="D118" t="str">
        <v>Item</v>
      </c>
      <c r="E118">
        <v>232</v>
      </c>
      <c r="F118">
        <v>959</v>
      </c>
      <c r="G118">
        <v>812</v>
      </c>
      <c r="H118">
        <v>147</v>
      </c>
      <c r="I118">
        <v>959</v>
      </c>
      <c r="J118">
        <v>0</v>
      </c>
    </row>
    <row r="119" spans="1:10">
      <c r="A119" t="str">
        <v>MAR</v>
      </c>
      <c r="B119" t="str">
        <v>Drinks</v>
      </c>
      <c r="C119" t="str">
        <v>7 Up</v>
      </c>
      <c r="D119" t="str">
        <v>Item</v>
      </c>
      <c r="E119">
        <v>49</v>
      </c>
      <c r="F119">
        <v>185.5</v>
      </c>
      <c r="G119">
        <v>171.5</v>
      </c>
      <c r="H119">
        <v>14</v>
      </c>
      <c r="I119">
        <v>185.5</v>
      </c>
      <c r="J119" t="str">
        <v>Sprite + 7up orders</v>
      </c>
    </row>
    <row r="120" spans="1:10">
      <c r="A120" t="str">
        <v>MAR</v>
      </c>
      <c r="B120" t="str">
        <v>Drinks</v>
      </c>
      <c r="C120" t="str">
        <v>Coke Zero</v>
      </c>
      <c r="D120" t="str">
        <v>Item</v>
      </c>
      <c r="E120">
        <v>126</v>
      </c>
      <c r="F120">
        <v>521</v>
      </c>
      <c r="G120">
        <v>441</v>
      </c>
      <c r="H120">
        <v>80</v>
      </c>
      <c r="I120">
        <v>521</v>
      </c>
      <c r="J120">
        <v>0</v>
      </c>
    </row>
    <row r="121" spans="1:10">
      <c r="A121" t="str">
        <v>MAR</v>
      </c>
      <c r="B121" t="str">
        <v>Drinks</v>
      </c>
      <c r="C121" t="str">
        <v>Carbonated Water</v>
      </c>
      <c r="D121" t="str">
        <v>Item</v>
      </c>
      <c r="E121">
        <v>27</v>
      </c>
      <c r="F121">
        <v>108</v>
      </c>
      <c r="G121">
        <v>108</v>
      </c>
      <c r="H121">
        <v>0</v>
      </c>
      <c r="I121">
        <v>108</v>
      </c>
      <c r="J121">
        <v>0</v>
      </c>
    </row>
    <row r="122" spans="1:10">
      <c r="A122" t="str">
        <v>MAR</v>
      </c>
      <c r="B122" t="str">
        <v>Drinks</v>
      </c>
      <c r="C122" t="str">
        <v>Barbican</v>
      </c>
      <c r="D122" t="str">
        <v>Item</v>
      </c>
      <c r="E122">
        <v>30</v>
      </c>
      <c r="F122">
        <v>135</v>
      </c>
      <c r="G122">
        <v>135</v>
      </c>
      <c r="H122">
        <v>0</v>
      </c>
      <c r="I122">
        <v>135</v>
      </c>
      <c r="J122">
        <v>0</v>
      </c>
    </row>
    <row r="123" spans="1:10">
      <c r="A123" t="str">
        <v>MAR</v>
      </c>
      <c r="B123" t="str">
        <v>Drinks</v>
      </c>
      <c r="C123" t="str">
        <v>Crush</v>
      </c>
      <c r="D123" t="str">
        <v>Item</v>
      </c>
      <c r="E123">
        <v>19</v>
      </c>
      <c r="F123">
        <v>66.5</v>
      </c>
      <c r="G123">
        <v>66.5</v>
      </c>
      <c r="H123">
        <v>0</v>
      </c>
      <c r="I123">
        <v>66.5</v>
      </c>
      <c r="J123">
        <v>0</v>
      </c>
    </row>
    <row r="124" spans="1:10">
      <c r="A124" t="str">
        <v>MAR</v>
      </c>
      <c r="B124" t="str">
        <v>Drinks</v>
      </c>
      <c r="C124" t="str">
        <v>Total</v>
      </c>
      <c r="D124" t="str">
        <v>Category Total</v>
      </c>
      <c r="E124">
        <v>1296</v>
      </c>
      <c r="F124">
        <v>7809</v>
      </c>
      <c r="G124">
        <v>7396.5</v>
      </c>
      <c r="H124">
        <v>412.5</v>
      </c>
      <c r="I124">
        <v>7809</v>
      </c>
      <c r="J124">
        <v>0</v>
      </c>
    </row>
    <row r="125" spans="1:10">
      <c r="A125" t="str">
        <v>MAR</v>
      </c>
      <c r="B125" t="str">
        <v>Starters</v>
      </c>
      <c r="C125" t="str">
        <v>Mac &amp; Cheese</v>
      </c>
      <c r="D125" t="str">
        <v>Item</v>
      </c>
      <c r="E125">
        <v>109</v>
      </c>
      <c r="F125">
        <v>981</v>
      </c>
      <c r="G125">
        <v>981</v>
      </c>
      <c r="H125">
        <v>0</v>
      </c>
      <c r="I125">
        <v>981</v>
      </c>
      <c r="J125">
        <v>0</v>
      </c>
    </row>
    <row r="126" spans="1:10">
      <c r="A126" t="str">
        <v>MAR</v>
      </c>
      <c r="B126" t="str">
        <v>Starters</v>
      </c>
      <c r="C126" t="str">
        <v>Smoked Corn</v>
      </c>
      <c r="D126" t="str">
        <v>Item</v>
      </c>
      <c r="E126">
        <v>21</v>
      </c>
      <c r="F126">
        <v>189</v>
      </c>
      <c r="G126">
        <v>189</v>
      </c>
      <c r="H126">
        <v>0</v>
      </c>
      <c r="I126">
        <v>189</v>
      </c>
      <c r="J126">
        <v>0</v>
      </c>
    </row>
    <row r="127" spans="1:10">
      <c r="A127" t="str">
        <v>MAR</v>
      </c>
      <c r="B127" t="str">
        <v>Starters</v>
      </c>
      <c r="C127" t="str">
        <v>Caesar Salad</v>
      </c>
      <c r="D127" t="str">
        <v>Item</v>
      </c>
      <c r="E127">
        <v>30</v>
      </c>
      <c r="F127">
        <v>330</v>
      </c>
      <c r="G127">
        <v>330</v>
      </c>
      <c r="H127">
        <v>0</v>
      </c>
      <c r="I127">
        <v>330</v>
      </c>
      <c r="J127">
        <v>0</v>
      </c>
    </row>
    <row r="128" spans="1:10">
      <c r="A128" t="str">
        <v>MAR</v>
      </c>
      <c r="B128" t="str">
        <v>Starters</v>
      </c>
      <c r="C128" t="str">
        <v>Baked Beans</v>
      </c>
      <c r="D128" t="str">
        <v>Item</v>
      </c>
      <c r="E128">
        <v>18</v>
      </c>
      <c r="F128">
        <v>126</v>
      </c>
      <c r="G128">
        <v>126</v>
      </c>
      <c r="H128">
        <v>0</v>
      </c>
      <c r="I128">
        <v>126</v>
      </c>
      <c r="J128">
        <v>0</v>
      </c>
    </row>
    <row r="129" spans="1:10">
      <c r="A129" t="str">
        <v>MAR</v>
      </c>
      <c r="B129" t="str">
        <v>Starters</v>
      </c>
      <c r="C129" t="str">
        <v>Macaroni Salad</v>
      </c>
      <c r="D129" t="str">
        <v>Item</v>
      </c>
      <c r="E129">
        <v>5</v>
      </c>
      <c r="F129">
        <v>30</v>
      </c>
      <c r="G129">
        <v>30</v>
      </c>
      <c r="H129">
        <v>0</v>
      </c>
      <c r="I129">
        <v>30</v>
      </c>
      <c r="J129">
        <v>0</v>
      </c>
    </row>
    <row r="130" spans="1:10">
      <c r="A130" t="str">
        <v>MAR</v>
      </c>
      <c r="B130" t="str">
        <v>Starters</v>
      </c>
      <c r="C130" t="str">
        <v>Sweet Potato Fries</v>
      </c>
      <c r="D130" t="str">
        <v>Item</v>
      </c>
      <c r="E130">
        <v>32</v>
      </c>
      <c r="F130">
        <v>192</v>
      </c>
      <c r="G130">
        <v>192</v>
      </c>
      <c r="H130">
        <v>0</v>
      </c>
      <c r="I130">
        <v>192</v>
      </c>
      <c r="J130">
        <v>0</v>
      </c>
    </row>
    <row r="131" spans="1:10">
      <c r="A131" t="str">
        <v>MAR</v>
      </c>
      <c r="B131" t="str">
        <v>Starters</v>
      </c>
      <c r="C131" t="str">
        <v>Hand Cut Fries</v>
      </c>
      <c r="D131" t="str">
        <v>Item</v>
      </c>
      <c r="E131">
        <v>43</v>
      </c>
      <c r="F131">
        <v>172</v>
      </c>
      <c r="G131">
        <v>172</v>
      </c>
      <c r="H131">
        <v>0</v>
      </c>
      <c r="I131">
        <v>172</v>
      </c>
      <c r="J131">
        <v>0</v>
      </c>
    </row>
    <row r="132" spans="1:10">
      <c r="A132" t="str">
        <v>MAR</v>
      </c>
      <c r="B132" t="str">
        <v>Starters</v>
      </c>
      <c r="C132" t="str">
        <v>Mashed Potatoes</v>
      </c>
      <c r="D132" t="str">
        <v>Item</v>
      </c>
      <c r="E132">
        <v>24</v>
      </c>
      <c r="F132">
        <v>192</v>
      </c>
      <c r="G132">
        <v>192</v>
      </c>
      <c r="H132">
        <v>0</v>
      </c>
      <c r="I132">
        <v>192</v>
      </c>
      <c r="J132">
        <v>0</v>
      </c>
    </row>
    <row r="133" spans="1:10">
      <c r="A133" t="str">
        <v>MAR</v>
      </c>
      <c r="B133" t="str">
        <v>Starters</v>
      </c>
      <c r="C133" t="str">
        <v>Curly Fries</v>
      </c>
      <c r="D133" t="str">
        <v>Item</v>
      </c>
      <c r="E133">
        <v>69</v>
      </c>
      <c r="F133">
        <v>345</v>
      </c>
      <c r="G133">
        <v>345</v>
      </c>
      <c r="H133">
        <v>0</v>
      </c>
      <c r="I133">
        <v>345</v>
      </c>
      <c r="J133">
        <v>0</v>
      </c>
    </row>
    <row r="134" spans="1:10">
      <c r="A134" t="str">
        <v>MAR</v>
      </c>
      <c r="B134" t="str">
        <v>Starters</v>
      </c>
      <c r="C134" t="str">
        <v>Fried Shrimp</v>
      </c>
      <c r="D134" t="str">
        <v>Item</v>
      </c>
      <c r="E134">
        <v>45</v>
      </c>
      <c r="F134">
        <v>540</v>
      </c>
      <c r="G134">
        <v>540</v>
      </c>
      <c r="H134">
        <v>0</v>
      </c>
      <c r="I134">
        <v>540</v>
      </c>
      <c r="J134">
        <v>0</v>
      </c>
    </row>
    <row r="135" spans="1:10">
      <c r="A135" t="str">
        <v>MAR</v>
      </c>
      <c r="B135" t="str">
        <v>Starters</v>
      </c>
      <c r="C135" t="str">
        <v>Fried Pickles</v>
      </c>
      <c r="D135" t="str">
        <v>Item</v>
      </c>
      <c r="E135">
        <v>21</v>
      </c>
      <c r="F135">
        <v>147</v>
      </c>
      <c r="G135">
        <v>147</v>
      </c>
      <c r="H135">
        <v>0</v>
      </c>
      <c r="I135">
        <v>147</v>
      </c>
      <c r="J135">
        <v>0</v>
      </c>
    </row>
    <row r="136" spans="1:10">
      <c r="A136" t="str">
        <v>MAR</v>
      </c>
      <c r="B136" t="str">
        <v>Starters</v>
      </c>
      <c r="C136" t="str">
        <v>Creamy Coleslaw</v>
      </c>
      <c r="D136" t="str">
        <v>Item</v>
      </c>
      <c r="E136">
        <v>20</v>
      </c>
      <c r="F136">
        <v>120</v>
      </c>
      <c r="G136">
        <v>120</v>
      </c>
      <c r="H136">
        <v>0</v>
      </c>
      <c r="I136">
        <v>0</v>
      </c>
      <c r="J136">
        <v>0</v>
      </c>
    </row>
    <row r="137" spans="1:10">
      <c r="A137" t="str">
        <v>MAR</v>
      </c>
      <c r="B137" t="str">
        <v>Starters</v>
      </c>
      <c r="C137" t="str">
        <v>Mushroom Soup</v>
      </c>
      <c r="D137" t="str">
        <v>Item</v>
      </c>
      <c r="E137">
        <v>37</v>
      </c>
      <c r="F137">
        <v>333</v>
      </c>
      <c r="G137">
        <v>333</v>
      </c>
      <c r="H137">
        <v>0</v>
      </c>
      <c r="I137">
        <v>333</v>
      </c>
      <c r="J137">
        <v>0</v>
      </c>
    </row>
    <row r="138" spans="1:10">
      <c r="A138" t="str">
        <v>MAR</v>
      </c>
      <c r="B138" t="str">
        <v>Starters</v>
      </c>
      <c r="C138" t="str">
        <v>Rice</v>
      </c>
      <c r="D138" t="str">
        <v>Item</v>
      </c>
      <c r="E138">
        <v>13</v>
      </c>
      <c r="F138">
        <v>65</v>
      </c>
      <c r="G138">
        <v>65</v>
      </c>
      <c r="H138">
        <v>0</v>
      </c>
      <c r="I138">
        <v>65</v>
      </c>
      <c r="J138">
        <v>0</v>
      </c>
    </row>
    <row r="139" spans="1:10">
      <c r="A139" t="str">
        <v>MAR</v>
      </c>
      <c r="B139" t="str">
        <v>Starters</v>
      </c>
      <c r="C139" t="str">
        <v>Total</v>
      </c>
      <c r="D139" t="str">
        <v>Category Total</v>
      </c>
      <c r="E139">
        <v>487</v>
      </c>
      <c r="F139">
        <v>3762</v>
      </c>
      <c r="G139">
        <v>3762</v>
      </c>
      <c r="H139">
        <v>0</v>
      </c>
      <c r="I139">
        <v>3642</v>
      </c>
      <c r="J139">
        <v>0</v>
      </c>
    </row>
    <row r="140" spans="1:10">
      <c r="A140" t="str">
        <v>MAR</v>
      </c>
      <c r="B140" t="str">
        <v>The Backyard Bites</v>
      </c>
      <c r="C140" t="str">
        <v>Brisket Poutine</v>
      </c>
      <c r="D140" t="str">
        <v>Item</v>
      </c>
      <c r="E140">
        <v>64</v>
      </c>
      <c r="F140">
        <v>1216</v>
      </c>
      <c r="G140">
        <v>1216</v>
      </c>
      <c r="H140">
        <v>0</v>
      </c>
      <c r="I140">
        <v>1216</v>
      </c>
      <c r="J140">
        <v>0</v>
      </c>
    </row>
    <row r="141" spans="1:10">
      <c r="A141" t="str">
        <v>MAR</v>
      </c>
      <c r="B141" t="str">
        <v>The Backyard Bites</v>
      </c>
      <c r="C141" t="str">
        <v>Chuck Beef Sliders X3</v>
      </c>
      <c r="D141" t="str">
        <v>Item</v>
      </c>
      <c r="E141">
        <v>53</v>
      </c>
      <c r="F141">
        <v>954</v>
      </c>
      <c r="G141">
        <v>954</v>
      </c>
      <c r="H141">
        <v>0</v>
      </c>
      <c r="I141">
        <v>954</v>
      </c>
      <c r="J141">
        <v>0</v>
      </c>
    </row>
    <row r="142" spans="1:10">
      <c r="A142" t="str">
        <v>MAR</v>
      </c>
      <c r="B142" t="str">
        <v>The Backyard Bites</v>
      </c>
      <c r="C142" t="str">
        <v>Pulled Chicken Poutine</v>
      </c>
      <c r="D142" t="str">
        <v>Item</v>
      </c>
      <c r="E142">
        <v>8</v>
      </c>
      <c r="F142">
        <v>128</v>
      </c>
      <c r="G142">
        <v>128</v>
      </c>
      <c r="H142">
        <v>0</v>
      </c>
      <c r="I142">
        <v>128</v>
      </c>
      <c r="J142">
        <v>0</v>
      </c>
    </row>
    <row r="143" spans="1:10">
      <c r="A143" t="str">
        <v>MAR</v>
      </c>
      <c r="B143" t="str">
        <v>The Backyard Bites</v>
      </c>
      <c r="C143" t="str">
        <v>Regular Poutine</v>
      </c>
      <c r="D143" t="str">
        <v>Item</v>
      </c>
      <c r="E143">
        <v>2</v>
      </c>
      <c r="F143">
        <v>24</v>
      </c>
      <c r="G143">
        <v>24</v>
      </c>
      <c r="H143">
        <v>0</v>
      </c>
      <c r="I143">
        <v>24</v>
      </c>
      <c r="J143">
        <v>0</v>
      </c>
    </row>
    <row r="144" spans="1:10">
      <c r="A144" t="str">
        <v>MAR</v>
      </c>
      <c r="B144" t="str">
        <v>The Backyard Bites</v>
      </c>
      <c r="C144" t="str">
        <v>Party Fries</v>
      </c>
      <c r="D144" t="str">
        <v>Item</v>
      </c>
      <c r="E144">
        <v>2</v>
      </c>
      <c r="F144">
        <v>38</v>
      </c>
      <c r="G144">
        <v>38</v>
      </c>
      <c r="H144">
        <v>0</v>
      </c>
      <c r="I144">
        <v>38</v>
      </c>
      <c r="J144">
        <v>0</v>
      </c>
    </row>
    <row r="145" spans="1:10">
      <c r="A145" t="str">
        <v>MAR</v>
      </c>
      <c r="B145" t="str">
        <v>The Backyard Bites</v>
      </c>
      <c r="C145" t="str">
        <v>Total</v>
      </c>
      <c r="D145" t="str">
        <v>Category Total</v>
      </c>
      <c r="E145">
        <v>129</v>
      </c>
      <c r="F145">
        <v>2360</v>
      </c>
      <c r="G145">
        <v>2360</v>
      </c>
      <c r="H145">
        <v>0</v>
      </c>
      <c r="I145">
        <v>2360</v>
      </c>
      <c r="J145">
        <v>0</v>
      </c>
    </row>
    <row r="146" spans="1:10">
      <c r="A146" t="str">
        <v>MAR</v>
      </c>
      <c r="B146" t="str">
        <v>Specialty Mac &amp; Cheese</v>
      </c>
      <c r="C146" t="str">
        <v>Brisket Mac And Cheese</v>
      </c>
      <c r="D146" t="str">
        <v>Item</v>
      </c>
      <c r="E146">
        <v>172</v>
      </c>
      <c r="F146">
        <v>3096</v>
      </c>
      <c r="G146">
        <v>3096</v>
      </c>
      <c r="H146">
        <v>0</v>
      </c>
      <c r="I146">
        <v>3096</v>
      </c>
      <c r="J146">
        <v>0</v>
      </c>
    </row>
    <row r="147" spans="1:10">
      <c r="A147" t="str">
        <v>MAR</v>
      </c>
      <c r="B147" t="str">
        <v>Specialty Mac &amp; Cheese</v>
      </c>
      <c r="C147" t="str">
        <v>Chicken Mac And Cheese</v>
      </c>
      <c r="D147" t="str">
        <v>Item</v>
      </c>
      <c r="E147">
        <v>29</v>
      </c>
      <c r="F147">
        <v>522</v>
      </c>
      <c r="G147">
        <v>522</v>
      </c>
      <c r="H147">
        <v>0</v>
      </c>
      <c r="I147">
        <v>522</v>
      </c>
      <c r="J147">
        <v>0</v>
      </c>
    </row>
    <row r="148" spans="1:10">
      <c r="A148" t="str">
        <v>MAR</v>
      </c>
      <c r="B148" t="str">
        <v>Specialty Mac &amp; Cheese</v>
      </c>
      <c r="C148" t="str">
        <v>Mushroom Mac and Cheese</v>
      </c>
      <c r="D148" t="str">
        <v>Item</v>
      </c>
      <c r="E148">
        <v>14</v>
      </c>
      <c r="F148">
        <v>252</v>
      </c>
      <c r="G148">
        <v>252</v>
      </c>
      <c r="H148">
        <v>0</v>
      </c>
      <c r="I148">
        <v>252</v>
      </c>
      <c r="J148">
        <v>0</v>
      </c>
    </row>
    <row r="149" spans="1:10">
      <c r="A149" t="str">
        <v>MAR</v>
      </c>
      <c r="B149" t="str">
        <v>Specialty Mac &amp; Cheese</v>
      </c>
      <c r="C149" t="str">
        <v>Total</v>
      </c>
      <c r="D149" t="str">
        <v>Category Total</v>
      </c>
      <c r="E149">
        <v>215</v>
      </c>
      <c r="F149">
        <v>3870</v>
      </c>
      <c r="G149">
        <v>3870</v>
      </c>
      <c r="H149">
        <v>0</v>
      </c>
      <c r="I149">
        <v>3870</v>
      </c>
      <c r="J149">
        <v>0</v>
      </c>
    </row>
    <row r="150" spans="1:10">
      <c r="A150" t="str">
        <v>MAR</v>
      </c>
      <c r="B150" t="str">
        <v>Kids Yard</v>
      </c>
      <c r="C150" t="str">
        <v>Tenders &amp; Fries</v>
      </c>
      <c r="D150" t="str">
        <v>Item</v>
      </c>
      <c r="E150">
        <v>18</v>
      </c>
      <c r="F150">
        <v>324</v>
      </c>
      <c r="G150">
        <v>324</v>
      </c>
      <c r="H150">
        <v>0</v>
      </c>
      <c r="I150">
        <v>324</v>
      </c>
      <c r="J150">
        <v>0</v>
      </c>
    </row>
    <row r="151" spans="1:10">
      <c r="A151" t="str">
        <v>MAR</v>
      </c>
      <c r="B151" t="str">
        <v>Kids Yard</v>
      </c>
      <c r="C151" t="str">
        <v>Sliders &amp; Sides</v>
      </c>
      <c r="D151" t="str">
        <v>Item</v>
      </c>
      <c r="E151">
        <v>26</v>
      </c>
      <c r="F151">
        <v>468</v>
      </c>
      <c r="G151">
        <v>468</v>
      </c>
      <c r="H151">
        <v>0</v>
      </c>
      <c r="I151">
        <v>468</v>
      </c>
      <c r="J151">
        <v>0</v>
      </c>
    </row>
    <row r="152" spans="1:10">
      <c r="A152" t="str">
        <v>MAR</v>
      </c>
      <c r="B152" t="str">
        <v>Kids Yard</v>
      </c>
      <c r="C152" t="str">
        <v>Total</v>
      </c>
      <c r="D152" t="str">
        <v>Category Total</v>
      </c>
      <c r="E152">
        <v>44</v>
      </c>
      <c r="F152">
        <v>792</v>
      </c>
      <c r="G152">
        <v>792</v>
      </c>
      <c r="H152">
        <v>0</v>
      </c>
      <c r="I152">
        <v>792</v>
      </c>
      <c r="J152">
        <v>0</v>
      </c>
    </row>
    <row r="153" spans="1:10">
      <c r="A153" t="str">
        <v>MAR</v>
      </c>
      <c r="B153" t="str">
        <v>Guilty Pleasures</v>
      </c>
      <c r="C153" t="str">
        <v>Corn Bread</v>
      </c>
      <c r="D153" t="str">
        <v>Item</v>
      </c>
      <c r="E153">
        <v>55</v>
      </c>
      <c r="F153">
        <v>275</v>
      </c>
      <c r="G153">
        <v>275</v>
      </c>
      <c r="H153">
        <v>0</v>
      </c>
      <c r="I153">
        <v>275</v>
      </c>
      <c r="J153">
        <v>0</v>
      </c>
    </row>
    <row r="154" spans="1:10">
      <c r="A154" t="str">
        <v>MAR</v>
      </c>
      <c r="B154" t="str">
        <v>Guilty Pleasures</v>
      </c>
      <c r="C154" t="str">
        <v>Garlic Bread</v>
      </c>
      <c r="D154" t="str">
        <v>Item</v>
      </c>
      <c r="E154">
        <v>25</v>
      </c>
      <c r="F154">
        <v>100</v>
      </c>
      <c r="G154">
        <v>100</v>
      </c>
      <c r="H154">
        <v>0</v>
      </c>
      <c r="I154">
        <v>100</v>
      </c>
      <c r="J154">
        <v>0</v>
      </c>
    </row>
    <row r="155" spans="1:10">
      <c r="A155" t="str">
        <v>MAR</v>
      </c>
      <c r="B155" t="str">
        <v>Guilty Pleasures</v>
      </c>
      <c r="C155" t="str">
        <v>Baby Roasted Potatoes</v>
      </c>
      <c r="D155" t="str">
        <v>Item</v>
      </c>
      <c r="E155">
        <v>19</v>
      </c>
      <c r="F155">
        <v>95</v>
      </c>
      <c r="G155">
        <v>95</v>
      </c>
      <c r="H155">
        <v>0</v>
      </c>
      <c r="I155">
        <v>95</v>
      </c>
      <c r="J155">
        <v>0</v>
      </c>
    </row>
    <row r="156" spans="1:10">
      <c r="A156" t="str">
        <v>MAR</v>
      </c>
      <c r="B156" t="str">
        <v>Guilty Pleasures</v>
      </c>
      <c r="C156" t="str">
        <v>Mushroom Confit</v>
      </c>
      <c r="D156" t="str">
        <v>Item</v>
      </c>
      <c r="E156">
        <v>21</v>
      </c>
      <c r="F156">
        <v>105</v>
      </c>
      <c r="G156">
        <v>105</v>
      </c>
      <c r="H156">
        <v>0</v>
      </c>
      <c r="I156">
        <v>105</v>
      </c>
      <c r="J156">
        <v>0</v>
      </c>
    </row>
    <row r="157" spans="1:10">
      <c r="A157" t="str">
        <v>MAR</v>
      </c>
      <c r="B157" t="str">
        <v>Guilty Pleasures</v>
      </c>
      <c r="C157" t="str">
        <v>Total</v>
      </c>
      <c r="D157" t="str">
        <v>Category Total</v>
      </c>
      <c r="E157">
        <v>120</v>
      </c>
      <c r="F157">
        <v>575</v>
      </c>
      <c r="G157">
        <v>575</v>
      </c>
      <c r="H157">
        <v>0</v>
      </c>
      <c r="I157">
        <v>575</v>
      </c>
      <c r="J157">
        <v>0</v>
      </c>
    </row>
    <row r="158" spans="1:10">
      <c r="A158" t="str">
        <v>MAR</v>
      </c>
      <c r="B158" t="str">
        <v>The Chic Yard</v>
      </c>
      <c r="C158" t="str">
        <v>1lb Chicken Wings</v>
      </c>
      <c r="D158" t="str">
        <v>Item</v>
      </c>
      <c r="E158">
        <v>43</v>
      </c>
      <c r="F158">
        <v>859.56999999999994</v>
      </c>
      <c r="G158">
        <v>859.56999999999994</v>
      </c>
      <c r="H158">
        <v>0</v>
      </c>
      <c r="I158">
        <v>859.56999999999994</v>
      </c>
      <c r="J158">
        <v>0</v>
      </c>
    </row>
    <row r="159" spans="1:10">
      <c r="A159" t="str">
        <v>MAR</v>
      </c>
      <c r="B159" t="str">
        <v>The Chic Yard</v>
      </c>
      <c r="C159" t="str">
        <v>Chicken Strips</v>
      </c>
      <c r="D159" t="str">
        <v>Item</v>
      </c>
      <c r="E159">
        <v>13</v>
      </c>
      <c r="F159">
        <v>259.87</v>
      </c>
      <c r="G159">
        <v>259.87</v>
      </c>
      <c r="H159">
        <v>0</v>
      </c>
      <c r="I159">
        <v>259.87</v>
      </c>
      <c r="J159">
        <v>0</v>
      </c>
    </row>
    <row r="160" spans="1:10">
      <c r="A160" t="str">
        <v>MAR</v>
      </c>
      <c r="B160" t="str">
        <v>The Chic Yard</v>
      </c>
      <c r="C160" t="str">
        <v>Total</v>
      </c>
      <c r="D160" t="str">
        <v>Category Total</v>
      </c>
      <c r="E160">
        <v>56</v>
      </c>
      <c r="F160">
        <v>1119.44</v>
      </c>
      <c r="G160">
        <v>1119.44</v>
      </c>
      <c r="H160">
        <v>0</v>
      </c>
      <c r="I160">
        <v>1119.44</v>
      </c>
      <c r="J160">
        <v>0</v>
      </c>
    </row>
    <row r="161" spans="1:10">
      <c r="A161" t="str">
        <v>MAR</v>
      </c>
      <c r="B161" t="str">
        <v>Desserts</v>
      </c>
      <c r="C161" t="str">
        <v>Molten Lava Cake</v>
      </c>
      <c r="D161" t="str">
        <v>Item</v>
      </c>
      <c r="E161">
        <v>68</v>
      </c>
      <c r="F161">
        <v>884</v>
      </c>
      <c r="G161">
        <v>884</v>
      </c>
      <c r="H161">
        <v>0</v>
      </c>
      <c r="I161">
        <v>884</v>
      </c>
      <c r="J161">
        <v>0</v>
      </c>
    </row>
    <row r="162" spans="1:10">
      <c r="A162" t="str">
        <v>MAR</v>
      </c>
      <c r="B162" t="str">
        <v>Desserts</v>
      </c>
      <c r="C162" t="str">
        <v>Sweet Cornbread</v>
      </c>
      <c r="D162" t="str">
        <v>Item</v>
      </c>
      <c r="E162">
        <v>6</v>
      </c>
      <c r="F162">
        <v>54</v>
      </c>
      <c r="G162">
        <v>54</v>
      </c>
      <c r="H162">
        <v>0</v>
      </c>
      <c r="I162">
        <v>54</v>
      </c>
      <c r="J162">
        <v>0</v>
      </c>
    </row>
    <row r="163" spans="1:10">
      <c r="A163" t="str">
        <v>MAR</v>
      </c>
      <c r="B163" t="str">
        <v>Desserts</v>
      </c>
      <c r="C163" t="str">
        <v>Ice Cream</v>
      </c>
      <c r="D163" t="str">
        <v>Item</v>
      </c>
      <c r="E163">
        <v>14</v>
      </c>
      <c r="F163">
        <v>56</v>
      </c>
      <c r="G163">
        <v>56</v>
      </c>
      <c r="H163">
        <v>0</v>
      </c>
      <c r="I163">
        <v>56</v>
      </c>
      <c r="J163" t="str">
        <v>Vanilla+Strawberry</v>
      </c>
    </row>
    <row r="164" spans="1:10">
      <c r="A164" t="str">
        <v>MAR</v>
      </c>
      <c r="B164" t="str">
        <v>Desserts</v>
      </c>
      <c r="C164" t="str">
        <v>Total</v>
      </c>
      <c r="D164" t="str">
        <v>Category Total</v>
      </c>
      <c r="E164">
        <v>88</v>
      </c>
      <c r="F164">
        <v>994</v>
      </c>
      <c r="G164">
        <v>994</v>
      </c>
      <c r="H164">
        <v>0</v>
      </c>
      <c r="I164">
        <v>994</v>
      </c>
      <c r="J164">
        <v>0</v>
      </c>
    </row>
    <row r="165" spans="1:10">
      <c r="A165" t="str">
        <v>MAR</v>
      </c>
      <c r="B165" t="str">
        <v>Sauces</v>
      </c>
      <c r="C165" t="str">
        <v>Cheese Sauce</v>
      </c>
      <c r="D165" t="str">
        <v>Item</v>
      </c>
      <c r="E165">
        <v>7</v>
      </c>
      <c r="F165">
        <v>14</v>
      </c>
      <c r="G165">
        <v>14</v>
      </c>
      <c r="H165">
        <v>0</v>
      </c>
      <c r="I165">
        <v>14</v>
      </c>
      <c r="J165">
        <v>0</v>
      </c>
    </row>
    <row r="166" spans="1:10">
      <c r="A166" t="str">
        <v>MAR</v>
      </c>
      <c r="B166" t="str">
        <v>Sauces</v>
      </c>
      <c r="C166" t="str">
        <v>Gravy</v>
      </c>
      <c r="D166" t="str">
        <v>Item</v>
      </c>
      <c r="E166">
        <v>11</v>
      </c>
      <c r="F166">
        <v>22</v>
      </c>
      <c r="G166">
        <v>22</v>
      </c>
      <c r="H166">
        <v>0</v>
      </c>
      <c r="I166">
        <v>22</v>
      </c>
      <c r="J166">
        <v>0</v>
      </c>
    </row>
    <row r="167" spans="1:10">
      <c r="A167" t="str">
        <v>MAR</v>
      </c>
      <c r="B167" t="str">
        <v>Sauces</v>
      </c>
      <c r="C167" t="str">
        <v>BKYD Sauce</v>
      </c>
      <c r="D167" t="str">
        <v>Item</v>
      </c>
      <c r="E167">
        <v>12</v>
      </c>
      <c r="F167">
        <v>12</v>
      </c>
      <c r="G167">
        <v>12</v>
      </c>
      <c r="H167">
        <v>0</v>
      </c>
      <c r="I167">
        <v>12</v>
      </c>
      <c r="J167">
        <v>0</v>
      </c>
    </row>
    <row r="168" spans="1:10">
      <c r="A168" t="str">
        <v>MAR</v>
      </c>
      <c r="B168" t="str">
        <v>Sauces</v>
      </c>
      <c r="C168" t="str">
        <v>Chipotle Mayo</v>
      </c>
      <c r="D168" t="str">
        <v>Item</v>
      </c>
      <c r="E168">
        <v>25</v>
      </c>
      <c r="F168">
        <v>25</v>
      </c>
      <c r="G168">
        <v>25</v>
      </c>
      <c r="H168">
        <v>0</v>
      </c>
      <c r="I168">
        <v>25</v>
      </c>
      <c r="J168">
        <v>0</v>
      </c>
    </row>
    <row r="169" spans="1:10">
      <c r="A169" t="str">
        <v>MAR</v>
      </c>
      <c r="B169" t="str">
        <v>Sauces</v>
      </c>
      <c r="C169" t="str">
        <v>Garlic Mayo</v>
      </c>
      <c r="D169" t="str">
        <v>Item</v>
      </c>
      <c r="E169">
        <v>18</v>
      </c>
      <c r="F169">
        <v>18</v>
      </c>
      <c r="G169">
        <v>18</v>
      </c>
      <c r="H169">
        <v>0</v>
      </c>
      <c r="I169">
        <v>18</v>
      </c>
      <c r="J169">
        <v>0</v>
      </c>
    </row>
    <row r="170" spans="1:10">
      <c r="A170" t="str">
        <v>MAR</v>
      </c>
      <c r="B170" t="str">
        <v>Sauces</v>
      </c>
      <c r="C170" t="str">
        <v>Gold Sauce</v>
      </c>
      <c r="D170" t="str">
        <v>Item</v>
      </c>
      <c r="E170">
        <v>4</v>
      </c>
      <c r="F170">
        <v>4</v>
      </c>
      <c r="G170">
        <v>4</v>
      </c>
      <c r="H170">
        <v>0</v>
      </c>
      <c r="I170">
        <v>4</v>
      </c>
      <c r="J170">
        <v>0</v>
      </c>
    </row>
    <row r="171" spans="1:10">
      <c r="A171" t="str">
        <v>MAR</v>
      </c>
      <c r="B171" t="str">
        <v>Sauces</v>
      </c>
      <c r="C171" t="str">
        <v>Honey</v>
      </c>
      <c r="D171" t="str">
        <v>Item</v>
      </c>
      <c r="E171">
        <v>4</v>
      </c>
      <c r="F171">
        <v>4</v>
      </c>
      <c r="G171">
        <v>4</v>
      </c>
      <c r="H171">
        <v>0</v>
      </c>
      <c r="I171">
        <v>4</v>
      </c>
      <c r="J171">
        <v>0</v>
      </c>
    </row>
    <row r="172" spans="1:10">
      <c r="A172" t="str">
        <v>MAR</v>
      </c>
      <c r="B172" t="str">
        <v>Sauces</v>
      </c>
      <c r="C172" t="str">
        <v>Hot Sauce</v>
      </c>
      <c r="D172" t="str">
        <v>Item</v>
      </c>
      <c r="E172">
        <v>10</v>
      </c>
      <c r="F172">
        <v>10</v>
      </c>
      <c r="G172">
        <v>10</v>
      </c>
      <c r="H172">
        <v>0</v>
      </c>
      <c r="I172">
        <v>10</v>
      </c>
      <c r="J172">
        <v>0</v>
      </c>
    </row>
    <row r="173" spans="1:10">
      <c r="A173" t="str">
        <v>MAR</v>
      </c>
      <c r="B173" t="str">
        <v>Sauces</v>
      </c>
      <c r="C173" t="str">
        <v>BBQ Sauce</v>
      </c>
      <c r="D173" t="str">
        <v>Item</v>
      </c>
      <c r="E173">
        <v>20</v>
      </c>
      <c r="F173">
        <v>20</v>
      </c>
      <c r="G173">
        <v>20</v>
      </c>
      <c r="H173">
        <v>0</v>
      </c>
      <c r="I173">
        <v>20</v>
      </c>
      <c r="J173">
        <v>0</v>
      </c>
    </row>
    <row r="174" spans="1:10">
      <c r="A174" t="str">
        <v>MAR</v>
      </c>
      <c r="B174" t="str">
        <v>Sauces</v>
      </c>
      <c r="C174" t="str">
        <v>Total</v>
      </c>
      <c r="D174" t="str">
        <v>Category Total</v>
      </c>
      <c r="E174">
        <v>111</v>
      </c>
      <c r="F174">
        <v>129</v>
      </c>
      <c r="G174">
        <v>129</v>
      </c>
      <c r="H174">
        <v>0</v>
      </c>
      <c r="I174">
        <v>129</v>
      </c>
      <c r="J174">
        <v>0</v>
      </c>
    </row>
    <row r="175" spans="1:10">
      <c r="A175" t="str">
        <v>MAR</v>
      </c>
      <c r="B175" t="str">
        <v>All</v>
      </c>
      <c r="C175" t="str">
        <v>Grand Total</v>
      </c>
      <c r="D175" t="str">
        <v>Category Total</v>
      </c>
      <c r="E175">
        <v>4275</v>
      </c>
      <c r="F175">
        <v>121874.97</v>
      </c>
      <c r="G175">
        <v>121070.97</v>
      </c>
      <c r="H175">
        <v>804</v>
      </c>
      <c r="I175">
        <v>121754.97</v>
      </c>
      <c r="J175">
        <v>0</v>
      </c>
    </row>
    <row r="176" spans="1:10">
      <c r="A176" t="str">
        <v>APR</v>
      </c>
      <c r="B176" t="str">
        <v>BBQ Platters</v>
      </c>
      <c r="C176" t="str">
        <v>Three Yard</v>
      </c>
      <c r="D176" t="str">
        <v>Item</v>
      </c>
      <c r="E176">
        <v>297</v>
      </c>
      <c r="F176">
        <v>32426</v>
      </c>
      <c r="G176">
        <v>32076</v>
      </c>
      <c r="H176">
        <v>350</v>
      </c>
      <c r="I176">
        <v>32426</v>
      </c>
      <c r="J176">
        <v>0</v>
      </c>
    </row>
    <row r="177" spans="1:10">
      <c r="A177" t="str">
        <v>APR</v>
      </c>
      <c r="B177" t="str">
        <v>BBQ Platters</v>
      </c>
      <c r="C177" t="str">
        <v>Six Yard</v>
      </c>
      <c r="D177" t="str">
        <v>Item</v>
      </c>
      <c r="E177">
        <v>96</v>
      </c>
      <c r="F177">
        <v>19158</v>
      </c>
      <c r="G177">
        <v>19008</v>
      </c>
      <c r="H177">
        <v>150</v>
      </c>
      <c r="I177">
        <v>19158</v>
      </c>
      <c r="J177">
        <v>0</v>
      </c>
    </row>
    <row r="178" spans="1:10">
      <c r="A178" t="str">
        <v>APR</v>
      </c>
      <c r="B178" t="str">
        <v>BBQ Platters</v>
      </c>
      <c r="C178" t="str">
        <v>Nine Yard</v>
      </c>
      <c r="D178" t="str">
        <v>Item</v>
      </c>
      <c r="E178">
        <v>31</v>
      </c>
      <c r="F178">
        <v>9288</v>
      </c>
      <c r="G178">
        <v>9238</v>
      </c>
      <c r="H178">
        <v>50</v>
      </c>
      <c r="I178">
        <v>9288</v>
      </c>
      <c r="J178">
        <v>0</v>
      </c>
    </row>
    <row r="179" spans="1:10">
      <c r="A179" t="str">
        <v>APR</v>
      </c>
      <c r="B179" t="str">
        <v>BBQ Platters</v>
      </c>
      <c r="C179" t="str">
        <v>Total</v>
      </c>
      <c r="D179" t="str">
        <v>Category Total</v>
      </c>
      <c r="E179">
        <v>424</v>
      </c>
      <c r="F179">
        <v>60872</v>
      </c>
      <c r="G179">
        <v>60322</v>
      </c>
      <c r="H179">
        <v>550</v>
      </c>
      <c r="I179">
        <v>60872</v>
      </c>
      <c r="J179">
        <v>0</v>
      </c>
    </row>
    <row r="180" spans="1:10">
      <c r="A180" t="str">
        <v>APR</v>
      </c>
      <c r="B180" t="str">
        <v>Smoke Yard</v>
      </c>
      <c r="C180" t="str">
        <v>Beef Back Ribs</v>
      </c>
      <c r="D180" t="str">
        <v>Item</v>
      </c>
      <c r="E180">
        <v>165</v>
      </c>
      <c r="F180">
        <v>5940</v>
      </c>
      <c r="G180">
        <v>5940</v>
      </c>
      <c r="H180">
        <v>0</v>
      </c>
      <c r="I180">
        <v>5940</v>
      </c>
      <c r="J180">
        <v>0</v>
      </c>
    </row>
    <row r="181" spans="1:10">
      <c r="A181" t="str">
        <v>APR</v>
      </c>
      <c r="B181" t="str">
        <v>Smoke Yard</v>
      </c>
      <c r="C181" t="str">
        <v>Short Ribs</v>
      </c>
      <c r="D181" t="str">
        <v>Item</v>
      </c>
      <c r="E181">
        <v>59</v>
      </c>
      <c r="F181">
        <v>3245</v>
      </c>
      <c r="G181">
        <v>3245</v>
      </c>
      <c r="H181">
        <v>0</v>
      </c>
      <c r="I181">
        <v>3245</v>
      </c>
      <c r="J181">
        <v>0</v>
      </c>
    </row>
    <row r="182" spans="1:10">
      <c r="A182" t="str">
        <v>APR</v>
      </c>
      <c r="B182" t="str">
        <v>Smoke Yard</v>
      </c>
      <c r="C182" t="str">
        <v>Brisket</v>
      </c>
      <c r="D182" t="str">
        <v>Item</v>
      </c>
      <c r="E182">
        <v>163</v>
      </c>
      <c r="F182">
        <v>7661</v>
      </c>
      <c r="G182">
        <v>7661</v>
      </c>
      <c r="H182">
        <v>0</v>
      </c>
      <c r="I182">
        <v>7661</v>
      </c>
      <c r="J182">
        <v>0</v>
      </c>
    </row>
    <row r="183" spans="1:10">
      <c r="A183" t="str">
        <v>APR</v>
      </c>
      <c r="B183" t="str">
        <v>Smoke Yard</v>
      </c>
      <c r="C183" t="str">
        <v>Lamb Shank</v>
      </c>
      <c r="D183" t="str">
        <v>Item</v>
      </c>
      <c r="E183">
        <v>43</v>
      </c>
      <c r="F183">
        <v>1548</v>
      </c>
      <c r="G183">
        <v>1548</v>
      </c>
      <c r="H183">
        <v>0</v>
      </c>
      <c r="I183">
        <v>1548</v>
      </c>
      <c r="J183">
        <v>0</v>
      </c>
    </row>
    <row r="184" spans="1:10">
      <c r="A184" t="str">
        <v>APR</v>
      </c>
      <c r="B184" t="str">
        <v>Smoke Yard</v>
      </c>
      <c r="C184" t="str">
        <v>Chicken Quarters</v>
      </c>
      <c r="D184" t="str">
        <v>Item</v>
      </c>
      <c r="E184">
        <v>16</v>
      </c>
      <c r="F184">
        <v>400</v>
      </c>
      <c r="G184">
        <v>400</v>
      </c>
      <c r="H184">
        <v>0</v>
      </c>
      <c r="I184">
        <v>400</v>
      </c>
      <c r="J184">
        <v>0</v>
      </c>
    </row>
    <row r="185" spans="1:10">
      <c r="A185" t="str">
        <v>APR</v>
      </c>
      <c r="B185" t="str">
        <v>Smoke Yard</v>
      </c>
      <c r="C185" t="str">
        <v>Whole Smoked Chicken</v>
      </c>
      <c r="D185" t="str">
        <v>Item</v>
      </c>
      <c r="E185">
        <v>29</v>
      </c>
      <c r="F185">
        <v>1015</v>
      </c>
      <c r="G185">
        <v>1015</v>
      </c>
      <c r="H185">
        <v>0</v>
      </c>
      <c r="I185">
        <v>1015</v>
      </c>
      <c r="J185">
        <v>0</v>
      </c>
    </row>
    <row r="186" spans="1:10">
      <c r="A186" t="str">
        <v>APR</v>
      </c>
      <c r="B186" t="str">
        <v>Smoke Yard</v>
      </c>
      <c r="C186" t="str">
        <v>Pulled Chuck</v>
      </c>
      <c r="D186" t="str">
        <v>Item</v>
      </c>
      <c r="E186">
        <v>20</v>
      </c>
      <c r="F186">
        <v>400</v>
      </c>
      <c r="G186">
        <v>400</v>
      </c>
      <c r="H186">
        <v>0</v>
      </c>
      <c r="I186">
        <v>400</v>
      </c>
      <c r="J186">
        <v>0</v>
      </c>
    </row>
    <row r="187" spans="1:10">
      <c r="A187" t="str">
        <v>APR</v>
      </c>
      <c r="B187" t="str">
        <v>Smoke Yard</v>
      </c>
      <c r="C187" t="str">
        <v>Smoked Sausages (5 Pcs)</v>
      </c>
      <c r="D187" t="str">
        <v>Item</v>
      </c>
      <c r="E187">
        <v>40</v>
      </c>
      <c r="F187">
        <v>800</v>
      </c>
      <c r="G187">
        <v>800</v>
      </c>
      <c r="H187">
        <v>0</v>
      </c>
      <c r="I187">
        <v>800</v>
      </c>
      <c r="J187">
        <v>0</v>
      </c>
    </row>
    <row r="188" spans="1:10">
      <c r="A188" t="str">
        <v>APR</v>
      </c>
      <c r="B188" t="str">
        <v>Smoke Yard</v>
      </c>
      <c r="C188" t="str">
        <v>Total</v>
      </c>
      <c r="D188" t="str">
        <v>Category Total</v>
      </c>
      <c r="E188">
        <v>535</v>
      </c>
      <c r="F188">
        <v>21009</v>
      </c>
      <c r="G188">
        <v>21009</v>
      </c>
      <c r="H188">
        <v>0</v>
      </c>
      <c r="I188">
        <v>21009</v>
      </c>
      <c r="J188">
        <v>0</v>
      </c>
    </row>
    <row r="189" spans="1:10">
      <c r="A189" t="str">
        <v>APR</v>
      </c>
      <c r="B189" t="str">
        <v>The Bun Yard</v>
      </c>
      <c r="C189" t="str">
        <v>The Backyard Burger</v>
      </c>
      <c r="D189" t="str">
        <v>Item</v>
      </c>
      <c r="E189">
        <v>210</v>
      </c>
      <c r="F189">
        <v>4213.5</v>
      </c>
      <c r="G189">
        <v>4200</v>
      </c>
      <c r="H189">
        <v>13.5</v>
      </c>
      <c r="I189">
        <v>4213.5</v>
      </c>
      <c r="J189">
        <v>0</v>
      </c>
    </row>
    <row r="190" spans="1:10">
      <c r="A190" t="str">
        <v>APR</v>
      </c>
      <c r="B190" t="str">
        <v>The Bun Yard</v>
      </c>
      <c r="C190" t="str">
        <v>Brisket Beef Burger</v>
      </c>
      <c r="D190" t="str">
        <v>Item</v>
      </c>
      <c r="E190">
        <v>234</v>
      </c>
      <c r="F190">
        <v>5852.16</v>
      </c>
      <c r="G190">
        <v>5847.66</v>
      </c>
      <c r="H190">
        <v>4.5</v>
      </c>
      <c r="I190">
        <v>5852.16</v>
      </c>
      <c r="J190">
        <v>0</v>
      </c>
    </row>
    <row r="191" spans="1:10">
      <c r="A191" t="str">
        <v>APR</v>
      </c>
      <c r="B191" t="str">
        <v>The Bun Yard</v>
      </c>
      <c r="C191" t="str">
        <v>The Chef Yard Burger</v>
      </c>
      <c r="D191" t="str">
        <v>Item</v>
      </c>
      <c r="E191">
        <v>102</v>
      </c>
      <c r="F191">
        <v>2244</v>
      </c>
      <c r="G191">
        <v>2244</v>
      </c>
      <c r="H191">
        <v>0</v>
      </c>
      <c r="I191">
        <v>2244</v>
      </c>
      <c r="J191">
        <v>0</v>
      </c>
    </row>
    <row r="192" spans="1:10">
      <c r="A192" t="str">
        <v>APR</v>
      </c>
      <c r="B192" t="str">
        <v>The Bun Yard</v>
      </c>
      <c r="C192" t="str">
        <v>Cheeseyard Burger</v>
      </c>
      <c r="D192" t="str">
        <v>Item</v>
      </c>
      <c r="E192">
        <v>59</v>
      </c>
      <c r="F192">
        <v>1298</v>
      </c>
      <c r="G192">
        <v>1298</v>
      </c>
      <c r="H192">
        <v>0</v>
      </c>
      <c r="I192">
        <v>1298</v>
      </c>
      <c r="J192">
        <v>0</v>
      </c>
    </row>
    <row r="193" spans="1:10">
      <c r="A193" t="str">
        <v>APR</v>
      </c>
      <c r="B193" t="str">
        <v>The Bun Yard</v>
      </c>
      <c r="C193" t="str">
        <v>Nashville Hen Sandwich</v>
      </c>
      <c r="D193" t="str">
        <v>Item</v>
      </c>
      <c r="E193">
        <v>64</v>
      </c>
      <c r="F193">
        <v>1280</v>
      </c>
      <c r="G193">
        <v>1280</v>
      </c>
      <c r="H193">
        <v>0</v>
      </c>
      <c r="I193">
        <v>1280</v>
      </c>
      <c r="J193">
        <v>0</v>
      </c>
    </row>
    <row r="194" spans="1:10">
      <c r="A194" t="str">
        <v>APR</v>
      </c>
      <c r="B194" t="str">
        <v>The Bun Yard</v>
      </c>
      <c r="C194" t="str">
        <v>Pulled Beef Sandwich</v>
      </c>
      <c r="D194" t="str">
        <v>Item</v>
      </c>
      <c r="E194">
        <v>91</v>
      </c>
      <c r="F194">
        <v>2002</v>
      </c>
      <c r="G194">
        <v>2002</v>
      </c>
      <c r="H194">
        <v>0</v>
      </c>
      <c r="I194">
        <v>2002</v>
      </c>
      <c r="J194">
        <v>0</v>
      </c>
    </row>
    <row r="195" spans="1:10">
      <c r="A195" t="str">
        <v>APR</v>
      </c>
      <c r="B195" t="str">
        <v>The Bun Yard</v>
      </c>
      <c r="C195" t="str">
        <v>Holy Hen Sandwich</v>
      </c>
      <c r="D195" t="str">
        <v>Item</v>
      </c>
      <c r="E195">
        <v>47</v>
      </c>
      <c r="F195">
        <v>893</v>
      </c>
      <c r="G195">
        <v>893</v>
      </c>
      <c r="H195">
        <v>0</v>
      </c>
      <c r="I195">
        <v>893</v>
      </c>
      <c r="J195">
        <v>0</v>
      </c>
    </row>
    <row r="196" spans="1:10">
      <c r="A196" t="str">
        <v>APR</v>
      </c>
      <c r="B196" t="str">
        <v>The Bun Yard</v>
      </c>
      <c r="C196" t="str">
        <v>Pulled Smoked Chicken</v>
      </c>
      <c r="D196" t="str">
        <v>Item</v>
      </c>
      <c r="E196">
        <v>38</v>
      </c>
      <c r="F196">
        <v>722</v>
      </c>
      <c r="G196">
        <v>722</v>
      </c>
      <c r="H196">
        <v>0</v>
      </c>
      <c r="I196">
        <v>722</v>
      </c>
      <c r="J196">
        <v>0</v>
      </c>
    </row>
    <row r="197" spans="1:10">
      <c r="A197" t="str">
        <v>APR</v>
      </c>
      <c r="B197" t="str">
        <v>The Bun Yard</v>
      </c>
      <c r="C197" t="str">
        <v>Total</v>
      </c>
      <c r="D197" t="str">
        <v>Category Total</v>
      </c>
      <c r="E197">
        <v>845</v>
      </c>
      <c r="F197">
        <v>18504.66</v>
      </c>
      <c r="G197">
        <v>18486.66</v>
      </c>
      <c r="H197">
        <v>18</v>
      </c>
      <c r="I197">
        <v>18504.66</v>
      </c>
      <c r="J197">
        <v>0</v>
      </c>
    </row>
    <row r="198" spans="1:10">
      <c r="A198" t="str">
        <v>APR</v>
      </c>
      <c r="B198" t="str">
        <v>Drinks</v>
      </c>
      <c r="C198" t="str">
        <v>Mango Strawberry Lemonade</v>
      </c>
      <c r="D198" t="str">
        <v>Item</v>
      </c>
      <c r="E198">
        <v>165</v>
      </c>
      <c r="F198">
        <v>1155</v>
      </c>
      <c r="G198">
        <v>1155</v>
      </c>
      <c r="H198">
        <v>0</v>
      </c>
      <c r="I198">
        <v>1155</v>
      </c>
      <c r="J198">
        <v>0</v>
      </c>
    </row>
    <row r="199" spans="1:10">
      <c r="A199" t="str">
        <v>APR</v>
      </c>
      <c r="B199" t="str">
        <v>Drinks</v>
      </c>
      <c r="C199" t="str">
        <v>Mocktails</v>
      </c>
      <c r="D199" t="str">
        <v>Item</v>
      </c>
      <c r="E199">
        <v>148</v>
      </c>
      <c r="F199">
        <v>1539</v>
      </c>
      <c r="G199">
        <v>1539</v>
      </c>
      <c r="H199">
        <v>0</v>
      </c>
      <c r="I199">
        <v>1539</v>
      </c>
      <c r="J199" t="str">
        <v>grouped by modifiers</v>
      </c>
    </row>
    <row r="200" spans="1:10">
      <c r="A200" t="str">
        <v>APR</v>
      </c>
      <c r="B200" t="str">
        <v>Drinks</v>
      </c>
      <c r="C200" t="str">
        <v>Blackberry Pineapple Lemonade</v>
      </c>
      <c r="D200" t="str">
        <v>Item</v>
      </c>
      <c r="E200">
        <v>68</v>
      </c>
      <c r="F200">
        <v>476</v>
      </c>
      <c r="G200">
        <v>476</v>
      </c>
      <c r="H200">
        <v>0</v>
      </c>
      <c r="I200">
        <v>476</v>
      </c>
      <c r="J200">
        <v>0</v>
      </c>
    </row>
    <row r="201" spans="1:10">
      <c r="A201" t="str">
        <v>APR</v>
      </c>
      <c r="B201" t="str">
        <v>Drinks</v>
      </c>
      <c r="C201" t="str">
        <v>Diet Coke</v>
      </c>
      <c r="D201" t="str">
        <v>Item</v>
      </c>
      <c r="E201">
        <v>188</v>
      </c>
      <c r="F201">
        <v>721</v>
      </c>
      <c r="G201">
        <v>658</v>
      </c>
      <c r="H201">
        <v>63</v>
      </c>
      <c r="I201">
        <v>721</v>
      </c>
      <c r="J201" t="str">
        <v>Diet coke + Diet pepsi</v>
      </c>
    </row>
    <row r="202" spans="1:10">
      <c r="A202" t="str">
        <v>APR</v>
      </c>
      <c r="B202" t="str">
        <v>Drinks</v>
      </c>
      <c r="C202" t="str">
        <v>Mint Lemonade</v>
      </c>
      <c r="D202" t="str">
        <v>Item</v>
      </c>
      <c r="E202">
        <v>80</v>
      </c>
      <c r="F202">
        <v>560</v>
      </c>
      <c r="G202">
        <v>560</v>
      </c>
      <c r="H202">
        <v>0</v>
      </c>
      <c r="I202">
        <v>560</v>
      </c>
      <c r="J202">
        <v>0</v>
      </c>
    </row>
    <row r="203" spans="1:10">
      <c r="A203" t="str">
        <v>APR</v>
      </c>
      <c r="B203" t="str">
        <v>Drinks</v>
      </c>
      <c r="C203" t="str">
        <v>Milkshakes</v>
      </c>
      <c r="D203" t="str">
        <v>Item</v>
      </c>
      <c r="E203">
        <v>82</v>
      </c>
      <c r="F203">
        <v>904</v>
      </c>
      <c r="G203">
        <v>904</v>
      </c>
      <c r="H203">
        <v>0</v>
      </c>
      <c r="I203">
        <v>904</v>
      </c>
      <c r="J203" t="str">
        <v>grouped by modifiers | uncat</v>
      </c>
    </row>
    <row r="204" spans="1:10">
      <c r="A204" t="str">
        <v>APR</v>
      </c>
      <c r="B204" t="str">
        <v>Drinks</v>
      </c>
      <c r="C204" t="str">
        <v>Canada Dry</v>
      </c>
      <c r="D204" t="str">
        <v>Item</v>
      </c>
      <c r="E204">
        <v>65</v>
      </c>
      <c r="F204">
        <v>241.5</v>
      </c>
      <c r="G204">
        <v>227.5</v>
      </c>
      <c r="H204">
        <v>14</v>
      </c>
      <c r="I204">
        <v>241.5</v>
      </c>
      <c r="J204">
        <v>0</v>
      </c>
    </row>
    <row r="205" spans="1:10">
      <c r="A205" t="str">
        <v>APR</v>
      </c>
      <c r="B205" t="str">
        <v>Drinks</v>
      </c>
      <c r="C205" t="str">
        <v>Coke</v>
      </c>
      <c r="D205" t="str">
        <v>Item</v>
      </c>
      <c r="E205">
        <v>243</v>
      </c>
      <c r="F205">
        <v>917</v>
      </c>
      <c r="G205">
        <v>850.5</v>
      </c>
      <c r="H205">
        <v>66.5</v>
      </c>
      <c r="I205">
        <v>917</v>
      </c>
      <c r="J205">
        <v>0</v>
      </c>
    </row>
    <row r="206" spans="1:10">
      <c r="A206" t="str">
        <v>APR</v>
      </c>
      <c r="B206" t="str">
        <v>Drinks</v>
      </c>
      <c r="C206" t="str">
        <v>7 Up</v>
      </c>
      <c r="D206" t="str">
        <v>Item</v>
      </c>
      <c r="E206">
        <v>70</v>
      </c>
      <c r="F206">
        <v>252</v>
      </c>
      <c r="G206">
        <v>245</v>
      </c>
      <c r="H206">
        <v>7</v>
      </c>
      <c r="I206">
        <v>252</v>
      </c>
      <c r="J206" t="str">
        <v>Sprite + 7up orders</v>
      </c>
    </row>
    <row r="207" spans="1:10">
      <c r="A207" t="str">
        <v>APR</v>
      </c>
      <c r="B207" t="str">
        <v>Drinks</v>
      </c>
      <c r="C207" t="str">
        <v>Coke Zero</v>
      </c>
      <c r="D207" t="str">
        <v>Item</v>
      </c>
      <c r="E207">
        <v>153</v>
      </c>
      <c r="F207">
        <v>574</v>
      </c>
      <c r="G207">
        <v>535.5</v>
      </c>
      <c r="H207">
        <v>38.5</v>
      </c>
      <c r="I207">
        <v>574</v>
      </c>
      <c r="J207">
        <v>0</v>
      </c>
    </row>
    <row r="208" spans="1:10">
      <c r="A208" t="str">
        <v>APR</v>
      </c>
      <c r="B208" t="str">
        <v>Drinks</v>
      </c>
      <c r="C208" t="str">
        <v>Carbonated Water</v>
      </c>
      <c r="D208" t="str">
        <v>Item</v>
      </c>
      <c r="E208">
        <v>56</v>
      </c>
      <c r="F208">
        <v>224</v>
      </c>
      <c r="G208">
        <v>224</v>
      </c>
      <c r="H208">
        <v>0</v>
      </c>
      <c r="I208">
        <v>224</v>
      </c>
      <c r="J208">
        <v>0</v>
      </c>
    </row>
    <row r="209" spans="1:10">
      <c r="A209" t="str">
        <v>APR</v>
      </c>
      <c r="B209" t="str">
        <v>Drinks</v>
      </c>
      <c r="C209" t="str">
        <v>Barbican</v>
      </c>
      <c r="D209" t="str">
        <v>Item</v>
      </c>
      <c r="E209">
        <v>28</v>
      </c>
      <c r="F209">
        <v>126</v>
      </c>
      <c r="G209">
        <v>126</v>
      </c>
      <c r="H209">
        <v>0</v>
      </c>
      <c r="I209">
        <v>126</v>
      </c>
      <c r="J209">
        <v>0</v>
      </c>
    </row>
    <row r="210" spans="1:10">
      <c r="A210" t="str">
        <v>APR</v>
      </c>
      <c r="B210" t="str">
        <v>Drinks</v>
      </c>
      <c r="C210" t="str">
        <v>Crush</v>
      </c>
      <c r="D210" t="str">
        <v>Item</v>
      </c>
      <c r="E210">
        <v>16</v>
      </c>
      <c r="F210">
        <v>56</v>
      </c>
      <c r="G210">
        <v>56</v>
      </c>
      <c r="H210">
        <v>0</v>
      </c>
      <c r="I210">
        <v>56</v>
      </c>
      <c r="J210">
        <v>0</v>
      </c>
    </row>
    <row r="211" spans="1:10">
      <c r="A211" t="str">
        <v>APR</v>
      </c>
      <c r="B211" t="str">
        <v>Drinks</v>
      </c>
      <c r="C211" t="str">
        <v>Total</v>
      </c>
      <c r="D211" t="str">
        <v>Category Total</v>
      </c>
      <c r="E211">
        <v>1362</v>
      </c>
      <c r="F211">
        <v>7745.5</v>
      </c>
      <c r="G211">
        <v>7556.5</v>
      </c>
      <c r="H211">
        <v>189</v>
      </c>
      <c r="I211">
        <v>7745.5</v>
      </c>
      <c r="J211">
        <v>0</v>
      </c>
    </row>
    <row r="212" spans="1:10">
      <c r="A212" t="str">
        <v>APR</v>
      </c>
      <c r="B212" t="str">
        <v>Starters</v>
      </c>
      <c r="C212" t="str">
        <v>Mac &amp; Cheese</v>
      </c>
      <c r="D212" t="str">
        <v>Item</v>
      </c>
      <c r="E212">
        <v>103</v>
      </c>
      <c r="F212">
        <v>927</v>
      </c>
      <c r="G212">
        <v>927</v>
      </c>
      <c r="H212">
        <v>0</v>
      </c>
      <c r="I212">
        <v>927</v>
      </c>
      <c r="J212">
        <v>0</v>
      </c>
    </row>
    <row r="213" spans="1:10">
      <c r="A213" t="str">
        <v>APR</v>
      </c>
      <c r="B213" t="str">
        <v>Starters</v>
      </c>
      <c r="C213" t="str">
        <v>Smoked Corn</v>
      </c>
      <c r="D213" t="str">
        <v>Item</v>
      </c>
      <c r="E213">
        <v>27</v>
      </c>
      <c r="F213">
        <v>243</v>
      </c>
      <c r="G213">
        <v>243</v>
      </c>
      <c r="H213">
        <v>0</v>
      </c>
      <c r="I213">
        <v>243</v>
      </c>
      <c r="J213">
        <v>0</v>
      </c>
    </row>
    <row r="214" spans="1:10">
      <c r="A214" t="str">
        <v>APR</v>
      </c>
      <c r="B214" t="str">
        <v>Starters</v>
      </c>
      <c r="C214" t="str">
        <v>Caesar Salad</v>
      </c>
      <c r="D214" t="str">
        <v>Item</v>
      </c>
      <c r="E214">
        <v>24</v>
      </c>
      <c r="F214">
        <v>264</v>
      </c>
      <c r="G214">
        <v>264</v>
      </c>
      <c r="H214">
        <v>0</v>
      </c>
      <c r="I214">
        <v>264</v>
      </c>
      <c r="J214">
        <v>0</v>
      </c>
    </row>
    <row r="215" spans="1:10">
      <c r="A215" t="str">
        <v>APR</v>
      </c>
      <c r="B215" t="str">
        <v>Starters</v>
      </c>
      <c r="C215" t="str">
        <v>Baked Beans</v>
      </c>
      <c r="D215" t="str">
        <v>Item</v>
      </c>
      <c r="E215">
        <v>20</v>
      </c>
      <c r="F215">
        <v>140</v>
      </c>
      <c r="G215">
        <v>140</v>
      </c>
      <c r="H215">
        <v>0</v>
      </c>
      <c r="I215">
        <v>140</v>
      </c>
      <c r="J215">
        <v>0</v>
      </c>
    </row>
    <row r="216" spans="1:10">
      <c r="A216" t="str">
        <v>APR</v>
      </c>
      <c r="B216" t="str">
        <v>Starters</v>
      </c>
      <c r="C216" t="str">
        <v>Macaroni Salad</v>
      </c>
      <c r="D216" t="str">
        <v>Item</v>
      </c>
      <c r="E216">
        <v>8</v>
      </c>
      <c r="F216">
        <v>48</v>
      </c>
      <c r="G216">
        <v>48</v>
      </c>
      <c r="H216">
        <v>0</v>
      </c>
      <c r="I216">
        <v>48</v>
      </c>
      <c r="J216">
        <v>0</v>
      </c>
    </row>
    <row r="217" spans="1:10">
      <c r="A217" t="str">
        <v>APR</v>
      </c>
      <c r="B217" t="str">
        <v>Starters</v>
      </c>
      <c r="C217" t="str">
        <v>Sweet Potato Fries</v>
      </c>
      <c r="D217" t="str">
        <v>Item</v>
      </c>
      <c r="E217">
        <v>34</v>
      </c>
      <c r="F217">
        <v>204</v>
      </c>
      <c r="G217">
        <v>204</v>
      </c>
      <c r="H217">
        <v>0</v>
      </c>
      <c r="I217">
        <v>204</v>
      </c>
      <c r="J217">
        <v>0</v>
      </c>
    </row>
    <row r="218" spans="1:10">
      <c r="A218" t="str">
        <v>APR</v>
      </c>
      <c r="B218" t="str">
        <v>Starters</v>
      </c>
      <c r="C218" t="str">
        <v>Hand Cut Fries</v>
      </c>
      <c r="D218" t="str">
        <v>Item</v>
      </c>
      <c r="E218">
        <v>55</v>
      </c>
      <c r="F218">
        <v>220</v>
      </c>
      <c r="G218">
        <v>220</v>
      </c>
      <c r="H218">
        <v>0</v>
      </c>
      <c r="I218">
        <v>220</v>
      </c>
      <c r="J218">
        <v>0</v>
      </c>
    </row>
    <row r="219" spans="1:10">
      <c r="A219" t="str">
        <v>APR</v>
      </c>
      <c r="B219" t="str">
        <v>Starters</v>
      </c>
      <c r="C219" t="str">
        <v>Mashed Potatoes</v>
      </c>
      <c r="D219" t="str">
        <v>Item</v>
      </c>
      <c r="E219">
        <v>32</v>
      </c>
      <c r="F219">
        <v>256</v>
      </c>
      <c r="G219">
        <v>256</v>
      </c>
      <c r="H219">
        <v>0</v>
      </c>
      <c r="I219">
        <v>256</v>
      </c>
      <c r="J219">
        <v>0</v>
      </c>
    </row>
    <row r="220" spans="1:10">
      <c r="A220" t="str">
        <v>APR</v>
      </c>
      <c r="B220" t="str">
        <v>Starters</v>
      </c>
      <c r="C220" t="str">
        <v>Curly Fries</v>
      </c>
      <c r="D220" t="str">
        <v>Item</v>
      </c>
      <c r="E220">
        <v>79</v>
      </c>
      <c r="F220">
        <v>395</v>
      </c>
      <c r="G220">
        <v>395</v>
      </c>
      <c r="H220">
        <v>0</v>
      </c>
      <c r="I220">
        <v>395</v>
      </c>
      <c r="J220">
        <v>0</v>
      </c>
    </row>
    <row r="221" spans="1:10">
      <c r="A221" t="str">
        <v>APR</v>
      </c>
      <c r="B221" t="str">
        <v>Starters</v>
      </c>
      <c r="C221" t="str">
        <v>Fried Shrimp</v>
      </c>
      <c r="D221" t="str">
        <v>Item</v>
      </c>
      <c r="E221">
        <v>42</v>
      </c>
      <c r="F221">
        <v>504</v>
      </c>
      <c r="G221">
        <v>504</v>
      </c>
      <c r="H221">
        <v>0</v>
      </c>
      <c r="I221">
        <v>504</v>
      </c>
      <c r="J221">
        <v>0</v>
      </c>
    </row>
    <row r="222" spans="1:10">
      <c r="A222" t="str">
        <v>APR</v>
      </c>
      <c r="B222" t="str">
        <v>Starters</v>
      </c>
      <c r="C222" t="str">
        <v>Fried Pickles</v>
      </c>
      <c r="D222" t="str">
        <v>Item</v>
      </c>
      <c r="E222">
        <v>30</v>
      </c>
      <c r="F222">
        <v>210</v>
      </c>
      <c r="G222">
        <v>210</v>
      </c>
      <c r="H222">
        <v>0</v>
      </c>
      <c r="I222">
        <v>210</v>
      </c>
      <c r="J222">
        <v>0</v>
      </c>
    </row>
    <row r="223" spans="1:10">
      <c r="A223" t="str">
        <v>APR</v>
      </c>
      <c r="B223" t="str">
        <v>Starters</v>
      </c>
      <c r="C223" t="str">
        <v>Creamy Coleslaw</v>
      </c>
      <c r="D223" t="str">
        <v>Item</v>
      </c>
      <c r="E223">
        <v>17</v>
      </c>
      <c r="F223">
        <v>102</v>
      </c>
      <c r="G223">
        <v>102</v>
      </c>
      <c r="H223">
        <v>0</v>
      </c>
      <c r="I223">
        <v>0</v>
      </c>
      <c r="J223">
        <v>0</v>
      </c>
    </row>
    <row r="224" spans="1:10">
      <c r="A224" t="str">
        <v>APR</v>
      </c>
      <c r="B224" t="str">
        <v>Starters</v>
      </c>
      <c r="C224" t="str">
        <v>Mushroom Soup</v>
      </c>
      <c r="D224" t="str">
        <v>Item</v>
      </c>
      <c r="E224">
        <v>28</v>
      </c>
      <c r="F224">
        <v>252</v>
      </c>
      <c r="G224">
        <v>252</v>
      </c>
      <c r="H224">
        <v>0</v>
      </c>
      <c r="I224">
        <v>252</v>
      </c>
      <c r="J224">
        <v>0</v>
      </c>
    </row>
    <row r="225" spans="1:10">
      <c r="A225" t="str">
        <v>APR</v>
      </c>
      <c r="B225" t="str">
        <v>Starters</v>
      </c>
      <c r="C225" t="str">
        <v>Rice</v>
      </c>
      <c r="D225" t="str">
        <v>Item</v>
      </c>
      <c r="E225">
        <v>12</v>
      </c>
      <c r="F225">
        <v>60</v>
      </c>
      <c r="G225">
        <v>60</v>
      </c>
      <c r="H225">
        <v>0</v>
      </c>
      <c r="I225">
        <v>60</v>
      </c>
      <c r="J225">
        <v>0</v>
      </c>
    </row>
    <row r="226" spans="1:10">
      <c r="A226" t="str">
        <v>APR</v>
      </c>
      <c r="B226" t="str">
        <v>Starters</v>
      </c>
      <c r="C226" t="str">
        <v>Total</v>
      </c>
      <c r="D226" t="str">
        <v>Category Total</v>
      </c>
      <c r="E226">
        <v>511</v>
      </c>
      <c r="F226">
        <v>3825</v>
      </c>
      <c r="G226">
        <v>3825</v>
      </c>
      <c r="H226">
        <v>0</v>
      </c>
      <c r="I226">
        <v>3723</v>
      </c>
      <c r="J226">
        <v>0</v>
      </c>
    </row>
    <row r="227" spans="1:10">
      <c r="A227" t="str">
        <v>APR</v>
      </c>
      <c r="B227" t="str">
        <v>The Backyard Bites</v>
      </c>
      <c r="C227" t="str">
        <v>Brisket Poutine</v>
      </c>
      <c r="D227" t="str">
        <v>Item</v>
      </c>
      <c r="E227">
        <v>50</v>
      </c>
      <c r="F227">
        <v>950</v>
      </c>
      <c r="G227">
        <v>950</v>
      </c>
      <c r="H227">
        <v>0</v>
      </c>
      <c r="I227">
        <v>950</v>
      </c>
      <c r="J227">
        <v>0</v>
      </c>
    </row>
    <row r="228" spans="1:10">
      <c r="A228" t="str">
        <v>APR</v>
      </c>
      <c r="B228" t="str">
        <v>The Backyard Bites</v>
      </c>
      <c r="C228" t="str">
        <v>Chuck Beef Sliders X3</v>
      </c>
      <c r="D228" t="str">
        <v>Item</v>
      </c>
      <c r="E228">
        <v>52</v>
      </c>
      <c r="F228">
        <v>936</v>
      </c>
      <c r="G228">
        <v>936</v>
      </c>
      <c r="H228">
        <v>0</v>
      </c>
      <c r="I228">
        <v>936</v>
      </c>
      <c r="J228">
        <v>0</v>
      </c>
    </row>
    <row r="229" spans="1:10">
      <c r="A229" t="str">
        <v>APR</v>
      </c>
      <c r="B229" t="str">
        <v>The Backyard Bites</v>
      </c>
      <c r="C229" t="str">
        <v>Pulled Chicken Poutine</v>
      </c>
      <c r="D229" t="str">
        <v>Item</v>
      </c>
      <c r="E229">
        <v>11</v>
      </c>
      <c r="F229">
        <v>176</v>
      </c>
      <c r="G229">
        <v>176</v>
      </c>
      <c r="H229">
        <v>0</v>
      </c>
      <c r="I229">
        <v>176</v>
      </c>
      <c r="J229">
        <v>0</v>
      </c>
    </row>
    <row r="230" spans="1:10">
      <c r="A230" t="str">
        <v>APR</v>
      </c>
      <c r="B230" t="str">
        <v>The Backyard Bites</v>
      </c>
      <c r="C230" t="str">
        <v>Regular Poutine</v>
      </c>
      <c r="D230" t="str">
        <v>Item</v>
      </c>
      <c r="E230">
        <v>3</v>
      </c>
      <c r="F230">
        <v>36</v>
      </c>
      <c r="G230">
        <v>36</v>
      </c>
      <c r="H230">
        <v>0</v>
      </c>
      <c r="I230">
        <v>36</v>
      </c>
      <c r="J230">
        <v>0</v>
      </c>
    </row>
    <row r="231" spans="1:10">
      <c r="A231" t="str">
        <v>APR</v>
      </c>
      <c r="B231" t="str">
        <v>The Backyard Bites</v>
      </c>
      <c r="C231" t="str">
        <v>Party Fries</v>
      </c>
      <c r="D231" t="str">
        <v>Item</v>
      </c>
      <c r="E231">
        <v>8</v>
      </c>
      <c r="F231">
        <v>152</v>
      </c>
      <c r="G231">
        <v>152</v>
      </c>
      <c r="H231">
        <v>0</v>
      </c>
      <c r="I231">
        <v>152</v>
      </c>
      <c r="J231">
        <v>0</v>
      </c>
    </row>
    <row r="232" spans="1:10">
      <c r="A232" t="str">
        <v>APR</v>
      </c>
      <c r="B232" t="str">
        <v>The Backyard Bites</v>
      </c>
      <c r="C232" t="str">
        <v>Total</v>
      </c>
      <c r="D232" t="str">
        <v>Category Total</v>
      </c>
      <c r="E232">
        <v>124</v>
      </c>
      <c r="F232">
        <v>2250</v>
      </c>
      <c r="G232">
        <v>2250</v>
      </c>
      <c r="H232">
        <v>0</v>
      </c>
      <c r="I232">
        <v>2250</v>
      </c>
      <c r="J232">
        <v>0</v>
      </c>
    </row>
    <row r="233" spans="1:10">
      <c r="A233" t="str">
        <v>APR</v>
      </c>
      <c r="B233" t="str">
        <v>Specialty Mac &amp; Cheese</v>
      </c>
      <c r="C233" t="str">
        <v>Brisket Mac And Cheese</v>
      </c>
      <c r="D233" t="str">
        <v>Item</v>
      </c>
      <c r="E233">
        <v>139</v>
      </c>
      <c r="F233">
        <v>2502</v>
      </c>
      <c r="G233">
        <v>2502</v>
      </c>
      <c r="H233">
        <v>0</v>
      </c>
      <c r="I233">
        <v>2502</v>
      </c>
      <c r="J233">
        <v>0</v>
      </c>
    </row>
    <row r="234" spans="1:10">
      <c r="A234" t="str">
        <v>APR</v>
      </c>
      <c r="B234" t="str">
        <v>Specialty Mac &amp; Cheese</v>
      </c>
      <c r="C234" t="str">
        <v>Chicken Mac And Cheese</v>
      </c>
      <c r="D234" t="str">
        <v>Item</v>
      </c>
      <c r="E234">
        <v>19</v>
      </c>
      <c r="F234">
        <v>342</v>
      </c>
      <c r="G234">
        <v>342</v>
      </c>
      <c r="H234">
        <v>0</v>
      </c>
      <c r="I234">
        <v>342</v>
      </c>
      <c r="J234">
        <v>0</v>
      </c>
    </row>
    <row r="235" spans="1:10">
      <c r="A235" t="str">
        <v>APR</v>
      </c>
      <c r="B235" t="str">
        <v>Specialty Mac &amp; Cheese</v>
      </c>
      <c r="C235" t="str">
        <v>Mushroom Mac and Cheese</v>
      </c>
      <c r="D235" t="str">
        <v>Item</v>
      </c>
      <c r="E235">
        <v>10</v>
      </c>
      <c r="F235">
        <v>180</v>
      </c>
      <c r="G235">
        <v>180</v>
      </c>
      <c r="H235">
        <v>0</v>
      </c>
      <c r="I235">
        <v>180</v>
      </c>
      <c r="J235">
        <v>0</v>
      </c>
    </row>
    <row r="236" spans="1:10">
      <c r="A236" t="str">
        <v>APR</v>
      </c>
      <c r="B236" t="str">
        <v>Specialty Mac &amp; Cheese</v>
      </c>
      <c r="C236" t="str">
        <v>Total</v>
      </c>
      <c r="D236" t="str">
        <v>Category Total</v>
      </c>
      <c r="E236">
        <v>168</v>
      </c>
      <c r="F236">
        <v>3024</v>
      </c>
      <c r="G236">
        <v>3024</v>
      </c>
      <c r="H236">
        <v>0</v>
      </c>
      <c r="I236">
        <v>3024</v>
      </c>
      <c r="J236">
        <v>0</v>
      </c>
    </row>
    <row r="237" spans="1:10">
      <c r="A237" t="str">
        <v>APR</v>
      </c>
      <c r="B237" t="str">
        <v>Kids Yard</v>
      </c>
      <c r="C237" t="str">
        <v>Tenders &amp; Fries</v>
      </c>
      <c r="D237" t="str">
        <v>Item</v>
      </c>
      <c r="E237">
        <v>35</v>
      </c>
      <c r="F237">
        <v>630</v>
      </c>
      <c r="G237">
        <v>630</v>
      </c>
      <c r="H237">
        <v>0</v>
      </c>
      <c r="I237">
        <v>630</v>
      </c>
      <c r="J237">
        <v>0</v>
      </c>
    </row>
    <row r="238" spans="1:10">
      <c r="A238" t="str">
        <v>APR</v>
      </c>
      <c r="B238" t="str">
        <v>Kids Yard</v>
      </c>
      <c r="C238" t="str">
        <v>Sliders &amp; Sides</v>
      </c>
      <c r="D238" t="str">
        <v>Item</v>
      </c>
      <c r="E238">
        <v>33</v>
      </c>
      <c r="F238">
        <v>594</v>
      </c>
      <c r="G238">
        <v>594</v>
      </c>
      <c r="H238">
        <v>0</v>
      </c>
      <c r="I238">
        <v>594</v>
      </c>
      <c r="J238">
        <v>0</v>
      </c>
    </row>
    <row r="239" spans="1:10">
      <c r="A239" t="str">
        <v>APR</v>
      </c>
      <c r="B239" t="str">
        <v>Kids Yard</v>
      </c>
      <c r="C239" t="str">
        <v>Total</v>
      </c>
      <c r="D239" t="str">
        <v>Category Total</v>
      </c>
      <c r="E239">
        <v>68</v>
      </c>
      <c r="F239">
        <v>1224</v>
      </c>
      <c r="G239">
        <v>1224</v>
      </c>
      <c r="H239">
        <v>0</v>
      </c>
      <c r="I239">
        <v>1224</v>
      </c>
      <c r="J239">
        <v>0</v>
      </c>
    </row>
    <row r="240" spans="1:10">
      <c r="A240" t="str">
        <v>APR</v>
      </c>
      <c r="B240" t="str">
        <v>Guilty Pleasures</v>
      </c>
      <c r="C240" t="str">
        <v>Corn Bread</v>
      </c>
      <c r="D240" t="str">
        <v>Item</v>
      </c>
      <c r="E240">
        <v>83</v>
      </c>
      <c r="F240">
        <v>415</v>
      </c>
      <c r="G240">
        <v>415</v>
      </c>
      <c r="H240">
        <v>0</v>
      </c>
      <c r="I240">
        <v>415</v>
      </c>
      <c r="J240">
        <v>0</v>
      </c>
    </row>
    <row r="241" spans="1:10">
      <c r="A241" t="str">
        <v>APR</v>
      </c>
      <c r="B241" t="str">
        <v>Guilty Pleasures</v>
      </c>
      <c r="C241" t="str">
        <v>Garlic Bread</v>
      </c>
      <c r="D241" t="str">
        <v>Item</v>
      </c>
      <c r="E241">
        <v>24</v>
      </c>
      <c r="F241">
        <v>96</v>
      </c>
      <c r="G241">
        <v>96</v>
      </c>
      <c r="H241">
        <v>0</v>
      </c>
      <c r="I241">
        <v>96</v>
      </c>
      <c r="J241">
        <v>0</v>
      </c>
    </row>
    <row r="242" spans="1:10">
      <c r="A242" t="str">
        <v>APR</v>
      </c>
      <c r="B242" t="str">
        <v>Guilty Pleasures</v>
      </c>
      <c r="C242" t="str">
        <v>Baby Roasted Potatoes</v>
      </c>
      <c r="D242" t="str">
        <v>Item</v>
      </c>
      <c r="E242">
        <v>17</v>
      </c>
      <c r="F242">
        <v>85</v>
      </c>
      <c r="G242">
        <v>85</v>
      </c>
      <c r="H242">
        <v>0</v>
      </c>
      <c r="I242">
        <v>85</v>
      </c>
      <c r="J242">
        <v>0</v>
      </c>
    </row>
    <row r="243" spans="1:10">
      <c r="A243" t="str">
        <v>APR</v>
      </c>
      <c r="B243" t="str">
        <v>Guilty Pleasures</v>
      </c>
      <c r="C243" t="str">
        <v>Mushroom Confit</v>
      </c>
      <c r="D243" t="str">
        <v>Item</v>
      </c>
      <c r="E243">
        <v>18</v>
      </c>
      <c r="F243">
        <v>90</v>
      </c>
      <c r="G243">
        <v>90</v>
      </c>
      <c r="H243">
        <v>0</v>
      </c>
      <c r="I243">
        <v>90</v>
      </c>
      <c r="J243">
        <v>0</v>
      </c>
    </row>
    <row r="244" spans="1:10">
      <c r="A244" t="str">
        <v>APR</v>
      </c>
      <c r="B244" t="str">
        <v>Guilty Pleasures</v>
      </c>
      <c r="C244" t="str">
        <v>Total</v>
      </c>
      <c r="D244" t="str">
        <v>Category Total</v>
      </c>
      <c r="E244">
        <v>142</v>
      </c>
      <c r="F244">
        <v>686</v>
      </c>
      <c r="G244">
        <v>686</v>
      </c>
      <c r="H244">
        <v>0</v>
      </c>
      <c r="I244">
        <v>686</v>
      </c>
      <c r="J244">
        <v>0</v>
      </c>
    </row>
    <row r="245" spans="1:10">
      <c r="A245" t="str">
        <v>APR</v>
      </c>
      <c r="B245" t="str">
        <v>The Chic Yard</v>
      </c>
      <c r="C245" t="str">
        <v>1lb Chicken Wings</v>
      </c>
      <c r="D245" t="str">
        <v>Item</v>
      </c>
      <c r="E245">
        <v>44</v>
      </c>
      <c r="F245">
        <v>879.56</v>
      </c>
      <c r="G245">
        <v>879.56</v>
      </c>
      <c r="H245">
        <v>0</v>
      </c>
      <c r="I245">
        <v>879.56</v>
      </c>
      <c r="J245">
        <v>0</v>
      </c>
    </row>
    <row r="246" spans="1:10">
      <c r="A246" t="str">
        <v>APR</v>
      </c>
      <c r="B246" t="str">
        <v>The Chic Yard</v>
      </c>
      <c r="C246" t="str">
        <v>Chicken Strips</v>
      </c>
      <c r="D246" t="str">
        <v>Item</v>
      </c>
      <c r="E246">
        <v>24</v>
      </c>
      <c r="F246">
        <v>479.76</v>
      </c>
      <c r="G246">
        <v>479.76</v>
      </c>
      <c r="H246">
        <v>0</v>
      </c>
      <c r="I246">
        <v>479.76</v>
      </c>
      <c r="J246">
        <v>0</v>
      </c>
    </row>
    <row r="247" spans="1:10">
      <c r="A247" t="str">
        <v>APR</v>
      </c>
      <c r="B247" t="str">
        <v>The Chic Yard</v>
      </c>
      <c r="C247" t="str">
        <v>Total</v>
      </c>
      <c r="D247" t="str">
        <v>Category Total</v>
      </c>
      <c r="E247">
        <v>68</v>
      </c>
      <c r="F247">
        <v>1359.32</v>
      </c>
      <c r="G247">
        <v>1359.32</v>
      </c>
      <c r="H247">
        <v>0</v>
      </c>
      <c r="I247">
        <v>1359.32</v>
      </c>
      <c r="J247">
        <v>0</v>
      </c>
    </row>
    <row r="248" spans="1:10">
      <c r="A248" t="str">
        <v>APR</v>
      </c>
      <c r="B248" t="str">
        <v>Desserts</v>
      </c>
      <c r="C248" t="str">
        <v>Molten Lava Cake</v>
      </c>
      <c r="D248" t="str">
        <v>Item</v>
      </c>
      <c r="E248">
        <v>64</v>
      </c>
      <c r="F248">
        <v>832</v>
      </c>
      <c r="G248">
        <v>832</v>
      </c>
      <c r="H248">
        <v>0</v>
      </c>
      <c r="I248">
        <v>832</v>
      </c>
      <c r="J248">
        <v>0</v>
      </c>
    </row>
    <row r="249" spans="1:10">
      <c r="A249" t="str">
        <v>APR</v>
      </c>
      <c r="B249" t="str">
        <v>Desserts</v>
      </c>
      <c r="C249" t="str">
        <v>Sweet Cornbread</v>
      </c>
      <c r="D249" t="str">
        <v>Item</v>
      </c>
      <c r="E249">
        <v>2</v>
      </c>
      <c r="F249">
        <v>18</v>
      </c>
      <c r="G249">
        <v>18</v>
      </c>
      <c r="H249">
        <v>0</v>
      </c>
      <c r="I249">
        <v>18</v>
      </c>
      <c r="J249">
        <v>0</v>
      </c>
    </row>
    <row r="250" spans="1:10">
      <c r="A250" t="str">
        <v>APR</v>
      </c>
      <c r="B250" t="str">
        <v>Desserts</v>
      </c>
      <c r="C250" t="str">
        <v>Ice Cream</v>
      </c>
      <c r="D250" t="str">
        <v>Item</v>
      </c>
      <c r="E250">
        <v>16</v>
      </c>
      <c r="F250">
        <v>64</v>
      </c>
      <c r="G250">
        <v>64</v>
      </c>
      <c r="H250">
        <v>0</v>
      </c>
      <c r="I250">
        <v>64</v>
      </c>
      <c r="J250" t="str">
        <v>Vanilla+Strawberry</v>
      </c>
    </row>
    <row r="251" spans="1:10">
      <c r="A251" t="str">
        <v>APR</v>
      </c>
      <c r="B251" t="str">
        <v>Desserts</v>
      </c>
      <c r="C251" t="str">
        <v>Total</v>
      </c>
      <c r="D251" t="str">
        <v>Category Total</v>
      </c>
      <c r="E251">
        <v>82</v>
      </c>
      <c r="F251">
        <v>914</v>
      </c>
      <c r="G251">
        <v>914</v>
      </c>
      <c r="H251">
        <v>0</v>
      </c>
      <c r="I251">
        <v>914</v>
      </c>
      <c r="J251">
        <v>0</v>
      </c>
    </row>
    <row r="252" spans="1:10">
      <c r="A252" t="str">
        <v>APR</v>
      </c>
      <c r="B252" t="str">
        <v>Sauces</v>
      </c>
      <c r="C252" t="str">
        <v>Cheese Sauce</v>
      </c>
      <c r="D252" t="str">
        <v>Item</v>
      </c>
      <c r="E252">
        <v>1</v>
      </c>
      <c r="F252">
        <v>2</v>
      </c>
      <c r="G252">
        <v>2</v>
      </c>
      <c r="H252">
        <v>0</v>
      </c>
      <c r="I252">
        <v>2</v>
      </c>
      <c r="J252">
        <v>0</v>
      </c>
    </row>
    <row r="253" spans="1:10">
      <c r="A253" t="str">
        <v>APR</v>
      </c>
      <c r="B253" t="str">
        <v>Sauces</v>
      </c>
      <c r="C253" t="str">
        <v>Gravy</v>
      </c>
      <c r="D253" t="str">
        <v>Item</v>
      </c>
      <c r="E253">
        <v>12</v>
      </c>
      <c r="F253">
        <v>24</v>
      </c>
      <c r="G253">
        <v>24</v>
      </c>
      <c r="H253">
        <v>0</v>
      </c>
      <c r="I253">
        <v>24</v>
      </c>
      <c r="J253">
        <v>0</v>
      </c>
    </row>
    <row r="254" spans="1:10">
      <c r="A254" t="str">
        <v>APR</v>
      </c>
      <c r="B254" t="str">
        <v>Sauces</v>
      </c>
      <c r="C254" t="str">
        <v>BKYD Sauce</v>
      </c>
      <c r="D254" t="str">
        <v>Item</v>
      </c>
      <c r="E254">
        <v>14</v>
      </c>
      <c r="F254">
        <v>14</v>
      </c>
      <c r="G254">
        <v>14</v>
      </c>
      <c r="H254">
        <v>0</v>
      </c>
      <c r="I254">
        <v>14</v>
      </c>
      <c r="J254">
        <v>0</v>
      </c>
    </row>
    <row r="255" spans="1:10">
      <c r="A255" t="str">
        <v>APR</v>
      </c>
      <c r="B255" t="str">
        <v>Sauces</v>
      </c>
      <c r="C255" t="str">
        <v>Chipotle Mayo</v>
      </c>
      <c r="D255" t="str">
        <v>Item</v>
      </c>
      <c r="E255">
        <v>14</v>
      </c>
      <c r="F255">
        <v>14</v>
      </c>
      <c r="G255">
        <v>14</v>
      </c>
      <c r="H255">
        <v>0</v>
      </c>
      <c r="I255">
        <v>14</v>
      </c>
      <c r="J255">
        <v>0</v>
      </c>
    </row>
    <row r="256" spans="1:10">
      <c r="A256" t="str">
        <v>APR</v>
      </c>
      <c r="B256" t="str">
        <v>Sauces</v>
      </c>
      <c r="C256" t="str">
        <v>Garlic Mayo</v>
      </c>
      <c r="D256" t="str">
        <v>Item</v>
      </c>
      <c r="E256">
        <v>25</v>
      </c>
      <c r="F256">
        <v>25</v>
      </c>
      <c r="G256">
        <v>25</v>
      </c>
      <c r="H256">
        <v>0</v>
      </c>
      <c r="I256">
        <v>25</v>
      </c>
      <c r="J256">
        <v>0</v>
      </c>
    </row>
    <row r="257" spans="1:10">
      <c r="A257" t="str">
        <v>APR</v>
      </c>
      <c r="B257" t="str">
        <v>Sauces</v>
      </c>
      <c r="C257" t="str">
        <v>Gold Sauce</v>
      </c>
      <c r="D257" t="str">
        <v>Item</v>
      </c>
      <c r="E257">
        <v>3</v>
      </c>
      <c r="F257">
        <v>3</v>
      </c>
      <c r="G257">
        <v>3</v>
      </c>
      <c r="H257">
        <v>0</v>
      </c>
      <c r="I257">
        <v>3</v>
      </c>
      <c r="J257">
        <v>0</v>
      </c>
    </row>
    <row r="258" spans="1:10">
      <c r="A258" t="str">
        <v>APR</v>
      </c>
      <c r="B258" t="str">
        <v>Sauces</v>
      </c>
      <c r="C258" t="str">
        <v>Honey</v>
      </c>
      <c r="D258" t="str">
        <v>Item</v>
      </c>
      <c r="E258">
        <v>5</v>
      </c>
      <c r="F258">
        <v>5</v>
      </c>
      <c r="G258">
        <v>5</v>
      </c>
      <c r="H258">
        <v>0</v>
      </c>
      <c r="I258">
        <v>5</v>
      </c>
      <c r="J258">
        <v>0</v>
      </c>
    </row>
    <row r="259" spans="1:10">
      <c r="A259" t="str">
        <v>APR</v>
      </c>
      <c r="B259" t="str">
        <v>Sauces</v>
      </c>
      <c r="C259" t="str">
        <v>Hot Sauce</v>
      </c>
      <c r="D259" t="str">
        <v>Item</v>
      </c>
      <c r="E259">
        <v>9</v>
      </c>
      <c r="F259">
        <v>9</v>
      </c>
      <c r="G259">
        <v>9</v>
      </c>
      <c r="H259">
        <v>0</v>
      </c>
      <c r="I259">
        <v>9</v>
      </c>
      <c r="J259">
        <v>0</v>
      </c>
    </row>
    <row r="260" spans="1:10">
      <c r="A260" t="str">
        <v>APR</v>
      </c>
      <c r="B260" t="str">
        <v>Sauces</v>
      </c>
      <c r="C260" t="str">
        <v>BBQ Sauce</v>
      </c>
      <c r="D260" t="str">
        <v>Item</v>
      </c>
      <c r="E260">
        <v>33</v>
      </c>
      <c r="F260">
        <v>33</v>
      </c>
      <c r="G260">
        <v>33</v>
      </c>
      <c r="H260">
        <v>0</v>
      </c>
      <c r="I260">
        <v>33</v>
      </c>
      <c r="J260">
        <v>0</v>
      </c>
    </row>
    <row r="261" spans="1:10">
      <c r="A261" t="str">
        <v>APR</v>
      </c>
      <c r="B261" t="str">
        <v>Sauces</v>
      </c>
      <c r="C261" t="str">
        <v>Total</v>
      </c>
      <c r="D261" t="str">
        <v>Category Total</v>
      </c>
      <c r="E261">
        <v>116</v>
      </c>
      <c r="F261">
        <v>129</v>
      </c>
      <c r="G261">
        <v>129</v>
      </c>
      <c r="H261">
        <v>0</v>
      </c>
      <c r="I261">
        <v>129</v>
      </c>
      <c r="J261">
        <v>0</v>
      </c>
    </row>
    <row r="262" spans="1:10">
      <c r="A262" t="str">
        <v>APR</v>
      </c>
      <c r="B262" t="str">
        <v>All</v>
      </c>
      <c r="C262" t="str">
        <v>Grand Total</v>
      </c>
      <c r="D262" t="str">
        <v>Category Total</v>
      </c>
      <c r="E262">
        <v>4445</v>
      </c>
      <c r="F262">
        <v>121542.48000000001</v>
      </c>
      <c r="G262">
        <v>120785.48000000001</v>
      </c>
      <c r="H262">
        <v>757</v>
      </c>
      <c r="I262">
        <v>121440.48000000001</v>
      </c>
      <c r="J2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zoomScaleSheetLayoutView="100" workbookViewId="0">
      <selection activeCell="A2" sqref="A2"/>
    </sheetView>
  </sheetViews>
  <sheetFormatPr defaultRowHeight="15"/>
  <cols>
    <col min="1" max="1" width="32" customWidth="1"/>
    <col min="2" max="2" width="89.875" customWidth="1"/>
  </cols>
  <sheetData>
    <row r="1" spans="1:2">
      <c r="A1" s="1" t="s">
        <v>110</v>
      </c>
      <c r="B1" s="9" t="s">
        <v>111</v>
      </c>
    </row>
    <row r="2" spans="1:2" ht="16.5">
      <c r="A2" t="s">
        <v>112</v>
      </c>
      <c r="B2" s="3" t="s">
        <v>113</v>
      </c>
    </row>
    <row r="3" spans="1:2" ht="16.5">
      <c r="A3" t="s">
        <v>114</v>
      </c>
      <c r="B3" s="3" t="s">
        <v>115</v>
      </c>
    </row>
    <row r="4" spans="1:2" ht="16.5">
      <c r="A4" t="s">
        <v>116</v>
      </c>
      <c r="B4" s="3" t="s">
        <v>117</v>
      </c>
    </row>
    <row r="5" spans="1:2" ht="16.5">
      <c r="A5" t="s">
        <v>118</v>
      </c>
      <c r="B5" s="3" t="s">
        <v>119</v>
      </c>
    </row>
    <row r="6" spans="1:2" ht="16.5">
      <c r="A6" t="s">
        <v>120</v>
      </c>
      <c r="B6" s="3" t="s">
        <v>121</v>
      </c>
    </row>
    <row r="7" spans="1:2" ht="33.75">
      <c r="A7" t="s">
        <v>122</v>
      </c>
      <c r="B7" s="15" t="s">
        <v>123</v>
      </c>
    </row>
    <row r="8" spans="1:2" ht="14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2026-04-30T21:35:09Z</dcterms:created>
  <dcterms:modified xsi:type="dcterms:W3CDTF">2026-05-03T17:38:09Z</dcterms:modified>
  <cp:category/>
  <cp:contentStatus/>
</cp:coreProperties>
</file>